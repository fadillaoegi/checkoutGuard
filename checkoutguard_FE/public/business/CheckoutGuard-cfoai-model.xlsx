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heckoutGuard — Business plan ·" sheetId="1" r:id="rId1"/>
    <sheet name="CheckoutGuard — Business pl (2)" sheetId="2" r:id="rId2"/>
    <sheet name="CheckoutGuard — Business pl (3)" sheetId="3" r:id="rId3"/>
    <sheet name="CheckoutGuard — Assumptions · C" sheetId="4" r:id="rId4"/>
    <sheet name="CheckoutGuard — Assumptions · W" sheetId="5" r:id="rId5"/>
    <sheet name="CheckoutGuard — Assumptions (2)" sheetId="6" r:id="rId6"/>
    <sheet name="CheckoutGuard — Assumptions · S" sheetId="7" r:id="rId7"/>
    <sheet name="CheckoutGuard — Forecast · Chec" sheetId="8" r:id="rId8"/>
    <sheet name="CheckoutGuard — Forecast · Paym" sheetId="9" r:id="rId9"/>
    <sheet name="CheckoutGuard — Forecast · One-" sheetId="10" r:id="rId10"/>
    <sheet name="Model inputs" sheetId="11" r:id="rId11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.00000;(&quot;$&quot;#,##0.00000)"/>
    <numFmt numFmtId="166" formatCode="&quot;$&quot;#,##0.00;(&quot;$&quot;#,##0.00)"/>
    <numFmt numFmtId="167" formatCode="#,##0.00;(#,##0.00)"/>
    <numFmt numFmtId="168" formatCode="0.00%"/>
    <numFmt numFmtId="169" formatCode="0.0%"/>
    <numFmt numFmtId="170" formatCode="#,##0;(#,##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70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worksheet" Target="worksheets/sheet10.xml"></Relationship><Relationship Id="rId11" Type="http://schemas.openxmlformats.org/officeDocument/2006/relationships/worksheet" Target="worksheets/sheet11.xml"></Relationship><Relationship Id="rId12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G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CheckoutGuard — Business plan · User-supplied synthetic runtime observations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Reported input tokens</t>
        </is>
      </c>
      <c r="C4" t="inlineStr" s="4">
        <is>
          <t xml:space="preserve">Reported output tokens</t>
        </is>
      </c>
      <c r="D4" t="inlineStr" s="4">
        <is>
          <t xml:space="preserve">Elapsed seconds</t>
        </is>
      </c>
      <c r="E4" t="inlineStr" s="4">
        <is>
          <t xml:space="preserve">Model decisions</t>
        </is>
      </c>
      <c r="F4" t="inlineStr" s="4">
        <is>
          <t xml:space="preserve">Screenshots</t>
        </is>
      </c>
      <c r="G4" t="inlineStr" s="4">
        <is>
          <t xml:space="preserve">Catalog-priced token estimate</t>
        </is>
      </c>
    </row>
    <row r="5">
      <c r="A5" t="inlineStr" s="5">
        <is>
          <t xml:space="preserve">Run 1</t>
        </is>
      </c>
      <c r="B5" s="6">
        <f>12227</f>
        <v>12227</v>
      </c>
      <c r="C5" s="6">
        <f>202</f>
        <v>202</v>
      </c>
      <c r="D5" s="6">
        <f>21.3</f>
        <v>21.3</v>
      </c>
      <c r="E5" s="6">
        <f>7</f>
        <v>7</v>
      </c>
      <c r="F5" s="6">
        <f>8</f>
        <v>8</v>
      </c>
      <c r="G5" s="7">
        <f>('CheckoutGuard — Business plan ·'!B5*'CheckoutGuard — Assumptions · C'!B5+'CheckoutGuard — Business plan ·'!C5*'CheckoutGuard — Assumptions · C'!B6)/1000000</f>
        <v>0.00315775</v>
      </c>
    </row>
    <row r="6">
      <c r="A6" t="inlineStr" s="8">
        <is>
          <t xml:space="preserve">Run 2</t>
        </is>
      </c>
      <c r="B6" s="9">
        <f>12128</f>
        <v>12128</v>
      </c>
      <c r="C6" s="9">
        <f>179</f>
        <v>179</v>
      </c>
      <c r="D6" s="9">
        <f>28.92</f>
        <v>28.92</v>
      </c>
      <c r="E6" s="9">
        <f>7</f>
        <v>7</v>
      </c>
      <c r="F6" s="9">
        <f>8</f>
        <v>8</v>
      </c>
      <c r="G6" s="10">
        <f>('CheckoutGuard — Business plan ·'!B6*'CheckoutGuard — Assumptions · C'!B5+'CheckoutGuard — Business plan ·'!C6*'CheckoutGuard — Assumptions · C'!B6)/1000000</f>
        <v>0.0031214999999999997</v>
      </c>
    </row>
    <row r="7">
      <c r="A7" t="inlineStr" s="5">
        <is>
          <t xml:space="preserve">Run 3</t>
        </is>
      </c>
      <c r="B7" s="6">
        <f>12335</f>
        <v>12335</v>
      </c>
      <c r="C7" s="6">
        <f>202</f>
        <v>202</v>
      </c>
      <c r="D7" s="6">
        <f>16.66</f>
        <v>16.66</v>
      </c>
      <c r="E7" s="6">
        <f>7</f>
        <v>7</v>
      </c>
      <c r="F7" s="6">
        <f>8</f>
        <v>8</v>
      </c>
      <c r="G7" s="7">
        <f>('CheckoutGuard — Business plan ·'!B7*'CheckoutGuard — Assumptions · C'!B5+'CheckoutGuard — Business plan ·'!C7*'CheckoutGuard — Assumptions · C'!B6)/1000000</f>
        <v>0.0031847499999999996</v>
      </c>
    </row>
  </sheetData>
  <mergeCells count="1">
    <mergeCell ref="A1:G1"/>
  </mergeCells>
</worksheet>
</file>

<file path=xl/worksheets/sheet2.xml><?xml version="1.0" encoding="utf-8"?>
<worksheet xmlns="http://schemas.openxmlformats.org/spreadsheetml/2006/main">
  <dimension ref="A1:L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</cols>
  <sheetData>
    <row r="1" ht="32" customHeight="1">
      <c r="A1" t="inlineStr" s="1">
        <is>
          <t xml:space="preserve">CheckoutGuard — Business plan · Pricing contribution by subscription —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Included runs</t>
        </is>
      </c>
      <c r="D4" t="inlineStr" s="4">
        <is>
          <t xml:space="preserve">Included workspaces</t>
        </is>
      </c>
      <c r="E4" t="inlineStr" s="4">
        <is>
          <t xml:space="preserve">Used runs per subscription</t>
        </is>
      </c>
      <c r="F4" t="inlineStr" s="4">
        <is>
          <t xml:space="preserve">Delivery cost per subscription</t>
        </is>
      </c>
      <c r="G4" t="inlineStr" s="4">
        <is>
          <t xml:space="preserve">Support cost per subscription</t>
        </is>
      </c>
      <c r="H4" t="inlineStr" s="4">
        <is>
          <t xml:space="preserve">Fees per subscription</t>
        </is>
      </c>
      <c r="I4" t="inlineStr" s="4">
        <is>
          <t xml:space="preserve">Contribution per subscription</t>
        </is>
      </c>
      <c r="J4" t="inlineStr" s="4">
        <is>
          <t xml:space="preserve">Unit contribution margin</t>
        </is>
      </c>
      <c r="K4" t="inlineStr" s="4">
        <is>
          <t xml:space="preserve">Full quota contribution</t>
        </is>
      </c>
      <c r="L4" t="inlineStr" s="4">
        <is>
          <t xml:space="preserve">Full quota margin</t>
        </is>
      </c>
    </row>
    <row r="5">
      <c r="A5" t="inlineStr" s="5">
        <is>
          <t xml:space="preserve">Agency</t>
        </is>
      </c>
      <c r="B5" s="11">
        <f>299</f>
        <v>299</v>
      </c>
      <c r="C5" s="6">
        <f>2000</f>
        <v>2000</v>
      </c>
      <c r="D5" s="6">
        <f>10</f>
        <v>10</v>
      </c>
      <c r="E5" s="12">
        <f>'CheckoutGuard — Business pl (2)'!C5*'CheckoutGuard — Assumptions · C'!B17</f>
        <v>1000</v>
      </c>
      <c r="F5" s="12">
        <f>'CheckoutGuard — Business pl (2)'!E5*'CheckoutGuard — Assumptions (2)'!B12</f>
        <v>19.0856</v>
      </c>
      <c r="G5" s="12">
        <f>'CheckoutGuard — Assumptions · W'!E5/60*'CheckoutGuard — Assumptions · C'!B16</f>
        <v>30</v>
      </c>
      <c r="H5" s="12">
        <f>'CheckoutGuard — Business pl (2)'!B5*'CheckoutGuard — Assumptions · S'!B5+'CheckoutGuard — Assumptions · S'!B6</f>
        <v>9.27</v>
      </c>
      <c r="I5" s="12">
        <f>'CheckoutGuard — Business pl (2)'!B5-'CheckoutGuard — Business pl (2)'!F5-'CheckoutGuard — Business pl (2)'!G5-'CheckoutGuard — Business pl (2)'!H5</f>
        <v>240.6444</v>
      </c>
      <c r="J5" s="13">
        <f>IFERROR('CheckoutGuard — Business pl (2)'!I5/'CheckoutGuard — Business pl (2)'!B5,"")</f>
        <v>0.8048307692307692</v>
      </c>
      <c r="K5" s="12">
        <f>'CheckoutGuard — Business pl (2)'!B5-'CheckoutGuard — Business pl (2)'!C5*'CheckoutGuard — Assumptions (2)'!B12-'CheckoutGuard — Business pl (2)'!G5-'CheckoutGuard — Business pl (2)'!H5</f>
        <v>221.5588</v>
      </c>
      <c r="L5" s="13">
        <f>IFERROR('CheckoutGuard — Business pl (2)'!K5/'CheckoutGuard — Business pl (2)'!B5,"")</f>
        <v>0.7409993311036789</v>
      </c>
    </row>
    <row r="6">
      <c r="A6" t="inlineStr" s="8">
        <is>
          <t xml:space="preserve">Developer</t>
        </is>
      </c>
      <c r="B6" s="14">
        <f>29</f>
        <v>29</v>
      </c>
      <c r="C6" s="9">
        <f>100</f>
        <v>100</v>
      </c>
      <c r="D6" s="9">
        <f>1</f>
        <v>1</v>
      </c>
      <c r="E6" s="15">
        <f>'CheckoutGuard — Business pl (2)'!C6*'CheckoutGuard — Assumptions · C'!B17</f>
        <v>50</v>
      </c>
      <c r="F6" s="15">
        <f>'CheckoutGuard — Business pl (2)'!E6*'CheckoutGuard — Assumptions (2)'!B12</f>
        <v>0.95428</v>
      </c>
      <c r="G6" s="15">
        <f>'CheckoutGuard — Assumptions · W'!E6/60*'CheckoutGuard — Assumptions · C'!B16</f>
        <v>5</v>
      </c>
      <c r="H6" s="15">
        <f>'CheckoutGuard — Business pl (2)'!B6*'CheckoutGuard — Assumptions · S'!B5+'CheckoutGuard — Assumptions · S'!B6</f>
        <v>1.17</v>
      </c>
      <c r="I6" s="15">
        <f>'CheckoutGuard — Business pl (2)'!B6-'CheckoutGuard — Business pl (2)'!F6-'CheckoutGuard — Business pl (2)'!G6-'CheckoutGuard — Business pl (2)'!H6</f>
        <v>21.87572</v>
      </c>
      <c r="J6" s="16">
        <f>IFERROR('CheckoutGuard — Business pl (2)'!I6/'CheckoutGuard — Business pl (2)'!B6,"")</f>
        <v>0.7543351724137931</v>
      </c>
      <c r="K6" s="15">
        <f>'CheckoutGuard — Business pl (2)'!B6-'CheckoutGuard — Business pl (2)'!C6*'CheckoutGuard — Assumptions (2)'!B12-'CheckoutGuard — Business pl (2)'!G6-'CheckoutGuard — Business pl (2)'!H6</f>
        <v>20.921439999999997</v>
      </c>
      <c r="L6" s="16">
        <f>IFERROR('CheckoutGuard — Business pl (2)'!K6/'CheckoutGuard — Business pl (2)'!B6,"")</f>
        <v>0.7214289655172412</v>
      </c>
    </row>
    <row r="7">
      <c r="A7" t="inlineStr" s="5">
        <is>
          <t xml:space="preserve">Team</t>
        </is>
      </c>
      <c r="B7" s="11">
        <f>99</f>
        <v>99</v>
      </c>
      <c r="C7" s="6">
        <f>500</f>
        <v>500</v>
      </c>
      <c r="D7" s="6">
        <f>3</f>
        <v>3</v>
      </c>
      <c r="E7" s="12">
        <f>'CheckoutGuard — Business pl (2)'!C7*'CheckoutGuard — Assumptions · C'!B17</f>
        <v>250</v>
      </c>
      <c r="F7" s="12">
        <f>'CheckoutGuard — Business pl (2)'!E7*'CheckoutGuard — Assumptions (2)'!B12</f>
        <v>4.7714</v>
      </c>
      <c r="G7" s="12">
        <f>'CheckoutGuard — Assumptions · W'!E7/60*'CheckoutGuard — Assumptions · C'!B16</f>
        <v>12.5</v>
      </c>
      <c r="H7" s="12">
        <f>'CheckoutGuard — Business pl (2)'!B7*'CheckoutGuard — Assumptions · S'!B5+'CheckoutGuard — Assumptions · S'!B6</f>
        <v>3.2699999999999996</v>
      </c>
      <c r="I7" s="12">
        <f>'CheckoutGuard — Business pl (2)'!B7-'CheckoutGuard — Business pl (2)'!F7-'CheckoutGuard — Business pl (2)'!G7-'CheckoutGuard — Business pl (2)'!H7</f>
        <v>78.4586</v>
      </c>
      <c r="J7" s="13">
        <f>IFERROR('CheckoutGuard — Business pl (2)'!I7/'CheckoutGuard — Business pl (2)'!B7,"")</f>
        <v>0.7925111111111112</v>
      </c>
      <c r="K7" s="12">
        <f>'CheckoutGuard — Business pl (2)'!B7-'CheckoutGuard — Business pl (2)'!C7*'CheckoutGuard — Assumptions (2)'!B12-'CheckoutGuard — Business pl (2)'!G7-'CheckoutGuard — Business pl (2)'!H7</f>
        <v>73.6872</v>
      </c>
      <c r="L7" s="13">
        <f>IFERROR('CheckoutGuard — Business pl (2)'!K7/'CheckoutGuard — Business pl (2)'!B7,"")</f>
        <v>0.7443151515151516</v>
      </c>
    </row>
  </sheetData>
  <mergeCells count="1">
    <mergeCell ref="A1:L1"/>
  </mergeCells>
</worksheet>
</file>

<file path=xl/worksheets/sheet3.xml><?xml version="1.0" encoding="utf-8"?>
<worksheet xmlns="http://schemas.openxmlformats.org/spreadsheetml/2006/main">
  <dimension ref="A1:AN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  <col min="38" max="38" width="19" customWidth="1"/>
    <col min="39" max="39" width="19" customWidth="1"/>
    <col min="40" max="40" width="19" customWidth="1"/>
  </cols>
  <sheetData>
    <row r="1" ht="32" customHeight="1">
      <c r="A1" t="inlineStr" s="1">
        <is>
          <t xml:space="preserve">CheckoutGuard — Business plan · Conservative base growth comparison —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17">
        <is>
          <t xml:space="preserve">2027-10</t>
        </is>
      </c>
      <c r="C4" t="inlineStr" s="17">
        <is>
          <t xml:space="preserve">2027-10 &gt; CheckoutGuard — Conservative</t>
        </is>
      </c>
      <c r="D4" t="inlineStr" s="17">
        <is>
          <t xml:space="preserve">2027-10 &gt; CheckoutGuard — Growth</t>
        </is>
      </c>
      <c r="E4" t="inlineStr" s="4">
        <is>
          <t xml:space="preserve">2027-11</t>
        </is>
      </c>
      <c r="F4" t="inlineStr" s="4">
        <is>
          <t xml:space="preserve">2027-11 &gt; CheckoutGuard — Conservative</t>
        </is>
      </c>
      <c r="G4" t="inlineStr" s="4">
        <is>
          <t xml:space="preserve">2027-11 &gt; CheckoutGuard — Growth</t>
        </is>
      </c>
      <c r="H4" t="inlineStr" s="4">
        <is>
          <t xml:space="preserve">2027-12</t>
        </is>
      </c>
      <c r="I4" t="inlineStr" s="4">
        <is>
          <t xml:space="preserve">2027-12 &gt; CheckoutGuard — Conservative</t>
        </is>
      </c>
      <c r="J4" t="inlineStr" s="4">
        <is>
          <t xml:space="preserve">2027-12 &gt; CheckoutGuard — Growth</t>
        </is>
      </c>
      <c r="K4" t="inlineStr" s="17">
        <is>
          <t xml:space="preserve">2028-01</t>
        </is>
      </c>
      <c r="L4" t="inlineStr" s="17">
        <is>
          <t xml:space="preserve">2028-01 &gt; CheckoutGuard — Conservative</t>
        </is>
      </c>
      <c r="M4" t="inlineStr" s="17">
        <is>
          <t xml:space="preserve">2028-01 &gt; CheckoutGuard — Growth</t>
        </is>
      </c>
      <c r="N4" t="inlineStr" s="4">
        <is>
          <t xml:space="preserve">2028-02</t>
        </is>
      </c>
      <c r="O4" t="inlineStr" s="4">
        <is>
          <t xml:space="preserve">2028-02 &gt; CheckoutGuard — Conservative</t>
        </is>
      </c>
      <c r="P4" t="inlineStr" s="4">
        <is>
          <t xml:space="preserve">2028-02 &gt; CheckoutGuard — Growth</t>
        </is>
      </c>
      <c r="Q4" t="inlineStr" s="4">
        <is>
          <t xml:space="preserve">2028-03</t>
        </is>
      </c>
      <c r="R4" t="inlineStr" s="4">
        <is>
          <t xml:space="preserve">2028-03 &gt; CheckoutGuard — Conservative</t>
        </is>
      </c>
      <c r="S4" t="inlineStr" s="4">
        <is>
          <t xml:space="preserve">2028-03 &gt; CheckoutGuard — Growth</t>
        </is>
      </c>
      <c r="T4" t="inlineStr" s="17">
        <is>
          <t xml:space="preserve">2028-04</t>
        </is>
      </c>
      <c r="U4" t="inlineStr" s="17">
        <is>
          <t xml:space="preserve">2028-04 &gt; CheckoutGuard — Conservative</t>
        </is>
      </c>
      <c r="V4" t="inlineStr" s="17">
        <is>
          <t xml:space="preserve">2028-04 &gt; CheckoutGuard — Growth</t>
        </is>
      </c>
      <c r="W4" t="inlineStr" s="4">
        <is>
          <t xml:space="preserve">2028-05</t>
        </is>
      </c>
      <c r="X4" t="inlineStr" s="4">
        <is>
          <t xml:space="preserve">2028-05 &gt; CheckoutGuard — Conservative</t>
        </is>
      </c>
      <c r="Y4" t="inlineStr" s="4">
        <is>
          <t xml:space="preserve">2028-05 &gt; CheckoutGuard — Growth</t>
        </is>
      </c>
      <c r="Z4" t="inlineStr" s="4">
        <is>
          <t xml:space="preserve">2028-06</t>
        </is>
      </c>
      <c r="AA4" t="inlineStr" s="4">
        <is>
          <t xml:space="preserve">2028-06 &gt; CheckoutGuard — Conservative</t>
        </is>
      </c>
      <c r="AB4" t="inlineStr" s="4">
        <is>
          <t xml:space="preserve">2028-06 &gt; CheckoutGuard — Growth</t>
        </is>
      </c>
      <c r="AC4" t="inlineStr" s="17">
        <is>
          <t xml:space="preserve">2028-07</t>
        </is>
      </c>
      <c r="AD4" t="inlineStr" s="17">
        <is>
          <t xml:space="preserve">2028-07 &gt; CheckoutGuard — Conservative</t>
        </is>
      </c>
      <c r="AE4" t="inlineStr" s="17">
        <is>
          <t xml:space="preserve">2028-07 &gt; CheckoutGuard — Growth</t>
        </is>
      </c>
      <c r="AF4" t="inlineStr" s="4">
        <is>
          <t xml:space="preserve">2028-08</t>
        </is>
      </c>
      <c r="AG4" t="inlineStr" s="4">
        <is>
          <t xml:space="preserve">2028-08 &gt; CheckoutGuard — Conservative</t>
        </is>
      </c>
      <c r="AH4" t="inlineStr" s="4">
        <is>
          <t xml:space="preserve">2028-08 &gt; CheckoutGuard — Growth</t>
        </is>
      </c>
      <c r="AI4" t="inlineStr" s="4">
        <is>
          <t xml:space="preserve">2028-09</t>
        </is>
      </c>
      <c r="AJ4" t="inlineStr" s="4">
        <is>
          <t xml:space="preserve">2028-09 &gt; CheckoutGuard — Conservative</t>
        </is>
      </c>
      <c r="AK4" t="inlineStr" s="4">
        <is>
          <t xml:space="preserve">2028-09 &gt; CheckoutGuard — Growth</t>
        </is>
      </c>
      <c r="AL4" t="inlineStr" s="17">
        <is>
          <t xml:space="preserve">2028-10</t>
        </is>
      </c>
      <c r="AM4" t="inlineStr" s="17">
        <is>
          <t xml:space="preserve">2028-10 &gt; CheckoutGuard — Conservative</t>
        </is>
      </c>
      <c r="AN4" t="inlineStr" s="17">
        <is>
          <t xml:space="preserve">2028-10 &gt; CheckoutGuard — Growth</t>
        </is>
      </c>
    </row>
    <row r="5">
      <c r="A5" t="inlineStr" s="5">
        <is>
          <t xml:space="preserve">Active subscriptions</t>
        </is>
      </c>
      <c r="B5" s="6">
        <f>SUM('CheckoutGuard — Forecast · Chec'!N18,'CheckoutGuard — Forecast · Chec'!N19,'CheckoutGuard — Forecast · Chec'!N20)</f>
        <v>61.988285532751405</v>
      </c>
      <c r="C5" s="6">
        <f>SUM('Model inputs'!O11,'Model inputs'!O12,'Model inputs'!O13)</f>
        <v>20.683796055181336</v>
      </c>
      <c r="D5" s="6">
        <f>SUM('Model inputs'!O15,'Model inputs'!O16,'Model inputs'!O17)</f>
        <v>138.67627144673435</v>
      </c>
      <c r="E5" s="6">
        <f>SUM('CheckoutGuard — Forecast · Chec'!O18,'CheckoutGuard — Forecast · Chec'!O19,'CheckoutGuard — Forecast · Chec'!O20)</f>
        <v>68.20999043386846</v>
      </c>
      <c r="F5" s="6">
        <f>SUM('Model inputs'!P11,'Model inputs'!P12,'Model inputs'!P13)</f>
        <v>21.899606252422274</v>
      </c>
      <c r="G5" s="6">
        <f>SUM('Model inputs'!P15,'Model inputs'!P16,'Model inputs'!P17)</f>
        <v>156.0481069523515</v>
      </c>
      <c r="H5" s="6">
        <f>SUM('CheckoutGuard — Forecast · Chec'!P18,'CheckoutGuard — Forecast · Chec'!P19,'CheckoutGuard — Forecast · Chec'!P20)</f>
        <v>74.64911186130696</v>
      </c>
      <c r="I5" s="6">
        <f>SUM('Model inputs'!Q11,'Model inputs'!Q12,'Model inputs'!Q13)</f>
        <v>23.05462593980116</v>
      </c>
      <c r="J5" s="6">
        <f>SUM('Model inputs'!Q15,'Model inputs'!Q16,'Model inputs'!Q17)</f>
        <v>174.68413462262046</v>
      </c>
      <c r="K5" s="6">
        <f>SUM('CheckoutGuard — Forecast · Chec'!Q18,'CheckoutGuard — Forecast · Chec'!Q19,'CheckoutGuard — Forecast · Chec'!Q20)</f>
        <v>81.31933070294505</v>
      </c>
      <c r="L5" s="6">
        <f>SUM('Model inputs'!R11,'Model inputs'!R12,'Model inputs'!R13)</f>
        <v>24.1518946428111</v>
      </c>
      <c r="M5" s="6">
        <f>SUM('Model inputs'!R15,'Model inputs'!R16,'Model inputs'!R17)</f>
        <v>194.68800092422933</v>
      </c>
      <c r="N5" s="6">
        <f>SUM('CheckoutGuard — Forecast · Chec'!R18,'CheckoutGuard — Forecast · Chec'!R19,'CheckoutGuard — Forecast · Chec'!R20)</f>
        <v>88.23492758920787</v>
      </c>
      <c r="O5" s="6">
        <f>SUM('Model inputs'!S11,'Model inputs'!S12,'Model inputs'!S13)</f>
        <v>25.194299910670544</v>
      </c>
      <c r="P5" s="6">
        <f>SUM('Model inputs'!S15,'Model inputs'!S16,'Model inputs'!S17)</f>
        <v>216.17159381933095</v>
      </c>
      <c r="Q5" s="6">
        <f>SUM('CheckoutGuard — Forecast · Chec'!S18,'CheckoutGuard — Forecast · Chec'!S19,'CheckoutGuard — Forecast · Chec'!S20)</f>
        <v>95.41081540925036</v>
      </c>
      <c r="R5" s="6">
        <f>SUM('Model inputs'!T11,'Model inputs'!T12,'Model inputs'!T13)</f>
        <v>26.18458491513702</v>
      </c>
      <c r="S5" s="6">
        <f>SUM('Model inputs'!T15,'Model inputs'!T16,'Model inputs'!T17)</f>
        <v>239.25570308961738</v>
      </c>
      <c r="T5" s="6">
        <f>SUM('CheckoutGuard — Forecast · Chec'!T18,'CheckoutGuard — Forecast · Chec'!T19,'CheckoutGuard — Forecast · Chec'!T20)</f>
        <v>102.86257337707751</v>
      </c>
      <c r="U5" s="6">
        <f>SUM('Model inputs'!U11,'Model inputs'!U12,'Model inputs'!U13)</f>
        <v>27.125355669380166</v>
      </c>
      <c r="V5" s="6">
        <f>SUM('Model inputs'!U15,'Model inputs'!U16,'Model inputs'!U17)</f>
        <v>264.07073346623196</v>
      </c>
      <c r="W5" s="6">
        <f>SUM('CheckoutGuard — Forecast · Chec'!U18,'CheckoutGuard — Forecast · Chec'!U19,'CheckoutGuard — Forecast · Chec'!U20)</f>
        <v>110.60648272737507</v>
      </c>
      <c r="X5" s="6">
        <f>SUM('Model inputs'!V11,'Model inputs'!V12,'Model inputs'!V13)</f>
        <v>28.01908788591116</v>
      </c>
      <c r="Y5" s="6">
        <f>SUM('Model inputs'!V15,'Model inputs'!V16,'Model inputs'!V17)</f>
        <v>290.7574747903868</v>
      </c>
      <c r="Z5" s="6">
        <f>SUM('CheckoutGuard — Forecast · Chec'!V18,'CheckoutGuard — Forecast · Chec'!V19,'CheckoutGuard — Forecast · Chec'!V20)</f>
        <v>118.6595641247442</v>
      </c>
      <c r="AA5" s="6">
        <f>SUM('Model inputs'!W11,'Model inputs'!W12,'Model inputs'!W13)</f>
        <v>28.868133491615602</v>
      </c>
      <c r="AB5" s="6">
        <f>SUM('Model inputs'!W15,'Model inputs'!W16,'Model inputs'!W17)</f>
        <v>319.46793376753686</v>
      </c>
      <c r="AC5" s="6">
        <f>SUM('CheckoutGuard — Forecast · Chec'!W18,'CheckoutGuard — Forecast · Chec'!W19,'CheckoutGuard — Forecast · Chec'!W20)</f>
        <v>127.03961687415178</v>
      </c>
      <c r="AD5" s="6">
        <f>SUM('Model inputs'!X11,'Model inputs'!X12,'Model inputs'!X13)</f>
        <v>29.674726817034824</v>
      </c>
      <c r="AE5" s="6">
        <f>SUM('Model inputs'!X15,'Model inputs'!X16,'Model inputs'!X17)</f>
        <v>350.3662322429806</v>
      </c>
      <c r="AF5" s="6">
        <f>SUM('CheckoutGuard — Forecast · Chec'!X18,'CheckoutGuard — Forecast · Chec'!X19,'CheckoutGuard — Forecast · Chec'!X20)</f>
        <v>135.76526002473463</v>
      </c>
      <c r="AG5" s="6">
        <f>SUM('Model inputs'!Y11,'Model inputs'!Y12,'Model inputs'!Y13)</f>
        <v>30.44099047618308</v>
      </c>
      <c r="AH5" s="6">
        <f>SUM('Model inputs'!Y15,'Model inputs'!Y16,'Model inputs'!Y17)</f>
        <v>383.629577320979</v>
      </c>
      <c r="AI5" s="6">
        <f>SUM('CheckoutGuard — Forecast · Chec'!Y18,'CheckoutGuard — Forecast · Chec'!Y19,'CheckoutGuard — Forecast · Chec'!Y20)</f>
        <v>144.85597546364033</v>
      </c>
      <c r="AJ5" s="6">
        <f>SUM('Model inputs'!Z11,'Model inputs'!Z12,'Model inputs'!Z13)</f>
        <v>31.16894095237393</v>
      </c>
      <c r="AK5" s="6">
        <f>SUM('Model inputs'!Z15,'Model inputs'!Z16,'Model inputs'!Z17)</f>
        <v>419.4493090752461</v>
      </c>
      <c r="AL5" s="6">
        <f>SUM('CheckoutGuard — Forecast · Chec'!Z18,'CheckoutGuard — Forecast · Chec'!Z19,'CheckoutGuard — Forecast · Chec'!Z20)</f>
        <v>154.33215310136129</v>
      </c>
      <c r="AM5" s="6">
        <f>SUM('Model inputs'!AA11,'Model inputs'!AA12,'Model inputs'!AA13)</f>
        <v>31.86049390475523</v>
      </c>
      <c r="AN5" s="6">
        <f>SUM('Model inputs'!AA15,'Model inputs'!AA16,'Model inputs'!AA17)</f>
        <v>458.03203205848286</v>
      </c>
    </row>
    <row r="6">
      <c r="A6" t="inlineStr" s="8">
        <is>
          <t xml:space="preserve">Subscription revenue</t>
        </is>
      </c>
      <c r="B6" s="14">
        <f>SUM('CheckoutGuard — Forecast · Chec'!N22,'CheckoutGuard — Forecast · Chec'!N23,'CheckoutGuard — Forecast · Chec'!N24)</f>
        <v>5585.833285229044</v>
      </c>
      <c r="C6" s="14">
        <f>SUM('Model inputs'!O89,'Model inputs'!O90,'Model inputs'!O91)</f>
        <v>1863.8398445280072</v>
      </c>
      <c r="D6" s="14">
        <f>SUM('Model inputs'!O93,'Model inputs'!O94,'Model inputs'!O95)</f>
        <v>12342.188158759356</v>
      </c>
      <c r="E6" s="14">
        <f>SUM('CheckoutGuard — Forecast · Chec'!O22,'CheckoutGuard — Forecast · Chec'!O23,'CheckoutGuard — Forecast · Chec'!O24)</f>
        <v>6146.478026874147</v>
      </c>
      <c r="F6" s="14">
        <f>SUM('Model inputs'!P89,'Model inputs'!P90,'Model inputs'!P91)</f>
        <v>1973.397852301607</v>
      </c>
      <c r="G6" s="14">
        <f>SUM('Model inputs'!P93,'Model inputs'!P94,'Model inputs'!P95)</f>
        <v>13888.281518759284</v>
      </c>
      <c r="H6" s="14">
        <f>SUM('CheckoutGuard — Forecast · Chec'!P22,'CheckoutGuard — Forecast · Chec'!P23,'CheckoutGuard — Forecast · Chec'!P24)</f>
        <v>6726.714413279994</v>
      </c>
      <c r="I6" s="14">
        <f>SUM('Model inputs'!Q89,'Model inputs'!Q90,'Model inputs'!Q91)</f>
        <v>2077.4779596865264</v>
      </c>
      <c r="J6" s="14">
        <f>SUM('Model inputs'!Q93,'Model inputs'!Q94,'Model inputs'!Q95)</f>
        <v>15546.88798141322</v>
      </c>
      <c r="K6" s="14">
        <f>SUM('CheckoutGuard — Forecast · Chec'!Q22,'CheckoutGuard — Forecast · Chec'!Q23,'CheckoutGuard — Forecast · Chec'!Q24)</f>
        <v>7327.775244454271</v>
      </c>
      <c r="L6" s="14">
        <f>SUM('Model inputs'!R89,'Model inputs'!R90,'Model inputs'!R91)</f>
        <v>2176.3540617022004</v>
      </c>
      <c r="M6" s="14">
        <f>SUM('Model inputs'!R93,'Model inputs'!R94,'Model inputs'!R95)</f>
        <v>17327.23208225641</v>
      </c>
      <c r="N6" s="14">
        <f>SUM('CheckoutGuard — Forecast · Chec'!R22,'CheckoutGuard — Forecast · Chec'!R23,'CheckoutGuard — Forecast · Chec'!R24)</f>
        <v>7950.947363871954</v>
      </c>
      <c r="O6" s="14">
        <f>SUM('Model inputs'!S89,'Model inputs'!S90,'Model inputs'!S91)</f>
        <v>2270.28635861709</v>
      </c>
      <c r="P6" s="14">
        <f>SUM('Model inputs'!S93,'Model inputs'!S94,'Model inputs'!S95)</f>
        <v>19239.271849920453</v>
      </c>
      <c r="Q6" s="14">
        <f>SUM('CheckoutGuard — Forecast · Chec'!S22,'CheckoutGuard — Forecast · Chec'!S23,'CheckoutGuard — Forecast · Chec'!S24)</f>
        <v>8597.57458854467</v>
      </c>
      <c r="R6" s="14">
        <f>SUM('Model inputs'!T89,'Model inputs'!T90,'Model inputs'!T91)</f>
        <v>2359.522040686236</v>
      </c>
      <c r="S6" s="14">
        <f>SUM('Model inputs'!T93,'Model inputs'!T94,'Model inputs'!T95)</f>
        <v>21293.75757497595</v>
      </c>
      <c r="T6" s="14">
        <f>SUM('CheckoutGuard — Forecast · Chec'!T22,'CheckoutGuard — Forecast · Chec'!T23,'CheckoutGuard — Forecast · Chec'!T24)</f>
        <v>9269.060778756651</v>
      </c>
      <c r="U6" s="14">
        <f>SUM('Model inputs'!U89,'Model inputs'!U90,'Model inputs'!U91)</f>
        <v>2444.295938651924</v>
      </c>
      <c r="V6" s="14">
        <f>SUM('Model inputs'!U93,'Model inputs'!U94,'Model inputs'!U95)</f>
        <v>23502.295278494646</v>
      </c>
      <c r="W6" s="14">
        <f>SUM('CheckoutGuard — Forecast · Chec'!U22,'CheckoutGuard — Forecast · Chec'!U23,'CheckoutGuard — Forecast · Chec'!U24)</f>
        <v>9966.873054655687</v>
      </c>
      <c r="X6" s="14">
        <f>SUM('Model inputs'!V89,'Model inputs'!V90,'Model inputs'!V91)</f>
        <v>2524.8311417193277</v>
      </c>
      <c r="Y6" s="14">
        <f>SUM('Model inputs'!V93,'Model inputs'!V94,'Model inputs'!V95)</f>
        <v>25877.415256344426</v>
      </c>
      <c r="Z6" s="14">
        <f>SUM('CheckoutGuard — Forecast · Chec'!V22,'CheckoutGuard — Forecast · Chec'!V23,'CheckoutGuard — Forecast · Chec'!V24)</f>
        <v>10692.545167240838</v>
      </c>
      <c r="AA6" s="14">
        <f>SUM('Model inputs'!W89,'Model inputs'!W90,'Model inputs'!W91)</f>
        <v>2601.3395846333615</v>
      </c>
      <c r="AB6" s="14">
        <f>SUM('Model inputs'!W93,'Model inputs'!W94,'Model inputs'!W95)</f>
        <v>28432.64610531078</v>
      </c>
      <c r="AC6" s="14">
        <f>SUM('CheckoutGuard — Forecast · Chec'!W22,'CheckoutGuard — Forecast · Chec'!W23,'CheckoutGuard — Forecast · Chec'!W24)</f>
        <v>11447.681031659677</v>
      </c>
      <c r="AD6" s="14">
        <f>SUM('Model inputs'!X89,'Model inputs'!X90,'Model inputs'!X91)</f>
        <v>2674.022605401693</v>
      </c>
      <c r="AE6" s="14">
        <f>SUM('Model inputs'!X93,'Model inputs'!X94,'Model inputs'!X95)</f>
        <v>31182.594669625276</v>
      </c>
      <c r="AF6" s="14">
        <f>SUM('CheckoutGuard — Forecast · Chec'!X22,'CheckoutGuard — Forecast · Chec'!X23,'CheckoutGuard — Forecast · Chec'!X24)</f>
        <v>12233.958431117753</v>
      </c>
      <c r="AG6" s="14">
        <f>SUM('Model inputs'!Y89,'Model inputs'!Y90,'Model inputs'!Y91)</f>
        <v>2743.071475131609</v>
      </c>
      <c r="AH6" s="14">
        <f>SUM('Model inputs'!Y93,'Model inputs'!Y94,'Model inputs'!Y95)</f>
        <v>34143.03238156713</v>
      </c>
      <c r="AI6" s="14">
        <f>SUM('CheckoutGuard — Forecast · Chec'!Y22,'CheckoutGuard — Forecast · Chec'!Y23,'CheckoutGuard — Forecast · Chec'!Y24)</f>
        <v>13053.13290011248</v>
      </c>
      <c r="AJ6" s="14">
        <f>SUM('Model inputs'!Z89,'Model inputs'!Z90,'Model inputs'!Z91)</f>
        <v>2808.6679013750286</v>
      </c>
      <c r="AK6" s="14">
        <f>SUM('Model inputs'!Z93,'Model inputs'!Z94,'Model inputs'!Z95)</f>
        <v>37330.98850769691</v>
      </c>
      <c r="AL6" s="14">
        <f>SUM('CheckoutGuard — Forecast · Chec'!Z22,'CheckoutGuard — Forecast · Chec'!Z23,'CheckoutGuard — Forecast · Chec'!Z24)</f>
        <v>13907.041796133777</v>
      </c>
      <c r="AM6" s="14">
        <f>SUM('Model inputs'!AA89,'Model inputs'!AA90,'Model inputs'!AA91)</f>
        <v>2870.9845063062767</v>
      </c>
      <c r="AN6" s="14">
        <f>SUM('Model inputs'!AA93,'Model inputs'!AA94,'Model inputs'!AA95)</f>
        <v>40764.850853204975</v>
      </c>
    </row>
    <row r="7">
      <c r="A7" t="inlineStr" s="8">
        <is>
          <t xml:space="preserve">Contribution</t>
        </is>
      </c>
      <c r="B7" s="14">
        <f>SUM('CheckoutGuard — Forecast · Chec'!N38,'CheckoutGuard — Forecast · Chec'!N39,'CheckoutGuard — Forecast · Chec'!N40)</f>
        <v>4421.7048540706055</v>
      </c>
      <c r="C7" s="14">
        <f>SUM('Model inputs'!O24,'Model inputs'!O25,'Model inputs'!O26)</f>
        <v>1475.4020155869653</v>
      </c>
      <c r="D7" s="14">
        <f>SUM('Model inputs'!O28,'Model inputs'!O29,'Model inputs'!O30)</f>
        <v>9768.409951072474</v>
      </c>
      <c r="E7" s="14">
        <f>SUM('CheckoutGuard — Forecast · Chec'!O38,'CheckoutGuard — Forecast · Chec'!O39,'CheckoutGuard — Forecast · Chec'!O40)</f>
        <v>4865.507139057645</v>
      </c>
      <c r="F7" s="14">
        <f>SUM('Model inputs'!P24,'Model inputs'!P25,'Model inputs'!P26)</f>
        <v>1562.127334807617</v>
      </c>
      <c r="G7" s="14">
        <f>SUM('Model inputs'!P28,'Model inputs'!P29,'Model inputs'!P30)</f>
        <v>10992.088732244818</v>
      </c>
      <c r="H7" s="14">
        <f>SUM('CheckoutGuard — Forecast · Chec'!P38,'CheckoutGuard — Forecast · Chec'!P39,'CheckoutGuard — Forecast · Chec'!P40)</f>
        <v>5324.818027025531</v>
      </c>
      <c r="I7" s="14">
        <f>SUM('Model inputs'!Q24,'Model inputs'!Q25,'Model inputs'!Q26)</f>
        <v>1644.5163880672362</v>
      </c>
      <c r="J7" s="14">
        <f>SUM('Model inputs'!Q28,'Model inputs'!Q29,'Model inputs'!Q30)</f>
        <v>12304.817696209215</v>
      </c>
      <c r="K7" s="14">
        <f>SUM('CheckoutGuard — Forecast · Chec'!Q38,'CheckoutGuard — Forecast · Chec'!Q39,'CheckoutGuard — Forecast · Chec'!Q40)</f>
        <v>5800.613393461361</v>
      </c>
      <c r="L7" s="14">
        <f>SUM('Model inputs'!R24,'Model inputs'!R25,'Model inputs'!R26)</f>
        <v>1722.7859886638744</v>
      </c>
      <c r="M7" s="14">
        <f>SUM('Model inputs'!R28,'Model inputs'!R29,'Model inputs'!R30)</f>
        <v>13713.89773998307</v>
      </c>
      <c r="N7" s="14">
        <f>SUM('CheckoutGuard — Forecast · Chec'!R38,'CheckoutGuard — Forecast · Chec'!R39,'CheckoutGuard — Forecast · Chec'!R40)</f>
        <v>6293.911894266446</v>
      </c>
      <c r="O7" s="14">
        <f>SUM('Model inputs'!S24,'Model inputs'!S25,'Model inputs'!S26)</f>
        <v>1797.1421092306807</v>
      </c>
      <c r="P7" s="14">
        <f>SUM('Model inputs'!S28,'Model inputs'!S29,'Model inputs'!S30)</f>
        <v>15227.21029469729</v>
      </c>
      <c r="Q7" s="14">
        <f>SUM('CheckoutGuard — Forecast · Chec'!S38,'CheckoutGuard — Forecast · Chec'!S39,'CheckoutGuard — Forecast · Chec'!S40)</f>
        <v>6805.777285177825</v>
      </c>
      <c r="R7" s="14">
        <f>SUM('Model inputs'!T24,'Model inputs'!T25,'Model inputs'!T26)</f>
        <v>1867.7804237691466</v>
      </c>
      <c r="S7" s="14">
        <f>SUM('Model inputs'!T28,'Model inputs'!T29,'Model inputs'!T30)</f>
        <v>16853.26383907834</v>
      </c>
      <c r="T7" s="14">
        <f>SUM('CheckoutGuard — Forecast · Chec'!T38,'CheckoutGuard — Forecast · Chec'!T39,'CheckoutGuard — Forecast · Chec'!T40)</f>
        <v>7337.320851748833</v>
      </c>
      <c r="U7" s="14">
        <f>SUM('Model inputs'!U24,'Model inputs'!U25,'Model inputs'!U26)</f>
        <v>1934.8868225806893</v>
      </c>
      <c r="V7" s="14">
        <f>SUM('Model inputs'!U28,'Model inputs'!U29,'Model inputs'!U30)</f>
        <v>18601.244132593765</v>
      </c>
      <c r="W7" s="14">
        <f>SUM('CheckoutGuard — Forecast · Chec'!U38,'CheckoutGuard — Forecast · Chec'!U39,'CheckoutGuard — Forecast · Chec'!U40)</f>
        <v>7889.703955579025</v>
      </c>
      <c r="X7" s="14">
        <f>SUM('Model inputs'!V24,'Model inputs'!V25,'Model inputs'!V26)</f>
        <v>1998.6379014516547</v>
      </c>
      <c r="Y7" s="14">
        <f>SUM('Model inputs'!V28,'Model inputs'!V29,'Model inputs'!V30)</f>
        <v>20481.06846586264</v>
      </c>
      <c r="Z7" s="14">
        <f>SUM('CheckoutGuard — Forecast · Chec'!V38,'CheckoutGuard — Forecast · Chec'!V39,'CheckoutGuard — Forecast · Chec'!V40)</f>
        <v>8464.140702763445</v>
      </c>
      <c r="AA7" s="14">
        <f>SUM('Model inputs'!W24,'Model inputs'!W25,'Model inputs'!W26)</f>
        <v>2059.201426379072</v>
      </c>
      <c r="AB7" s="14">
        <f>SUM('Model inputs'!W28,'Model inputs'!W29,'Model inputs'!W30)</f>
        <v>22503.444249739798</v>
      </c>
      <c r="AC7" s="14">
        <f>SUM('CheckoutGuard — Forecast · Chec'!W38,'CheckoutGuard — Forecast · Chec'!W39,'CheckoutGuard — Forecast · Chec'!W40)</f>
        <v>9061.900740824924</v>
      </c>
      <c r="AD7" s="14">
        <f>SUM('Model inputs'!X24,'Model inputs'!X25,'Model inputs'!X26)</f>
        <v>2116.7367750601184</v>
      </c>
      <c r="AE7" s="14">
        <f>SUM('Model inputs'!X28,'Model inputs'!X29,'Model inputs'!X30)</f>
        <v>24679.932290194967</v>
      </c>
      <c r="AF7" s="14">
        <f>SUM('CheckoutGuard — Forecast · Chec'!X38,'CheckoutGuard — Forecast · Chec'!X39,'CheckoutGuard — Forecast · Chec'!X40)</f>
        <v>9684.312190701774</v>
      </c>
      <c r="AG7" s="14">
        <f>SUM('Model inputs'!Y24,'Model inputs'!Y25,'Model inputs'!Y26)</f>
        <v>2171.3953563071127</v>
      </c>
      <c r="AH7" s="14">
        <f>SUM('Model inputs'!Y28,'Model inputs'!Y29,'Model inputs'!Y30)</f>
        <v>27023.01512387703</v>
      </c>
      <c r="AI7" s="14">
        <f>SUM('CheckoutGuard — Forecast · Chec'!Y38,'CheckoutGuard — Forecast · Chec'!Y39,'CheckoutGuard — Forecast · Chec'!Y40)</f>
        <v>10332.7647206874</v>
      </c>
      <c r="AJ7" s="14">
        <f>SUM('Model inputs'!Z24,'Model inputs'!Z25,'Model inputs'!Z26)</f>
        <v>2223.3210084917573</v>
      </c>
      <c r="AK7" s="14">
        <f>SUM('Model inputs'!Z28,'Model inputs'!Z29,'Model inputs'!Z30)</f>
        <v>29546.170819244333</v>
      </c>
      <c r="AL7" s="14">
        <f>SUM('CheckoutGuard — Forecast · Chec'!Z38,'CheckoutGuard — Forecast · Chec'!Z39,'CheckoutGuard — Forecast · Chec'!Z40)</f>
        <v>11008.712769558791</v>
      </c>
      <c r="AM7" s="14">
        <f>SUM('Model inputs'!AA24,'Model inputs'!AA25,'Model inputs'!AA26)</f>
        <v>2272.650378067169</v>
      </c>
      <c r="AN7" s="14">
        <f>SUM('Model inputs'!AA28,'Model inputs'!AA29,'Model inputs'!AA30)</f>
        <v>32263.95268053187</v>
      </c>
    </row>
    <row r="8">
      <c r="A8" t="inlineStr" s="8">
        <is>
          <t xml:space="preserve">Contribution margin</t>
        </is>
      </c>
      <c r="B8" s="18">
        <f>IFERROR('CheckoutGuard — Business pl (3)'!B7/'CheckoutGuard — Business pl (3)'!B6,"")</f>
        <v>0.7915927003699137</v>
      </c>
      <c r="C8" s="18">
        <f>IFERROR('CheckoutGuard — Business pl (3)'!C7/'CheckoutGuard — Business pl (3)'!C6,"")</f>
        <v>0.7915927003699137</v>
      </c>
      <c r="D8" s="18">
        <f>IFERROR('CheckoutGuard — Business pl (3)'!D7/'CheckoutGuard — Business pl (3)'!D6,"")</f>
        <v>0.791465</v>
      </c>
      <c r="E8" s="18">
        <f>IFERROR('CheckoutGuard — Business pl (3)'!E7/'CheckoutGuard — Business pl (3)'!E6,"")</f>
        <v>0.7915927003699137</v>
      </c>
      <c r="F8" s="18">
        <f>IFERROR('CheckoutGuard — Business pl (3)'!F7/'CheckoutGuard — Business pl (3)'!F6,"")</f>
        <v>0.7915927003699136</v>
      </c>
      <c r="G8" s="18">
        <f>IFERROR('CheckoutGuard — Business pl (3)'!G7/'CheckoutGuard — Business pl (3)'!G6,"")</f>
        <v>0.7914650000000001</v>
      </c>
      <c r="H8" s="18">
        <f>IFERROR('CheckoutGuard — Business pl (3)'!H7/'CheckoutGuard — Business pl (3)'!H6,"")</f>
        <v>0.7915927003699138</v>
      </c>
      <c r="I8" s="18">
        <f>IFERROR('CheckoutGuard — Business pl (3)'!I7/'CheckoutGuard — Business pl (3)'!I6,"")</f>
        <v>0.7915927003699137</v>
      </c>
      <c r="J8" s="18">
        <f>IFERROR('CheckoutGuard — Business pl (3)'!J7/'CheckoutGuard — Business pl (3)'!J6,"")</f>
        <v>0.7914650000000001</v>
      </c>
      <c r="K8" s="18">
        <f>IFERROR('CheckoutGuard — Business pl (3)'!K7/'CheckoutGuard — Business pl (3)'!K6,"")</f>
        <v>0.7915927003699137</v>
      </c>
      <c r="L8" s="18">
        <f>IFERROR('CheckoutGuard — Business pl (3)'!L7/'CheckoutGuard — Business pl (3)'!L6,"")</f>
        <v>0.7915927003699136</v>
      </c>
      <c r="M8" s="18">
        <f>IFERROR('CheckoutGuard — Business pl (3)'!M7/'CheckoutGuard — Business pl (3)'!M6,"")</f>
        <v>0.791465</v>
      </c>
      <c r="N8" s="18">
        <f>IFERROR('CheckoutGuard — Business pl (3)'!N7/'CheckoutGuard — Business pl (3)'!N6,"")</f>
        <v>0.7915927003699137</v>
      </c>
      <c r="O8" s="18">
        <f>IFERROR('CheckoutGuard — Business pl (3)'!O7/'CheckoutGuard — Business pl (3)'!O6,"")</f>
        <v>0.7915927003699137</v>
      </c>
      <c r="P8" s="18">
        <f>IFERROR('CheckoutGuard — Business pl (3)'!P7/'CheckoutGuard — Business pl (3)'!P6,"")</f>
        <v>0.791465</v>
      </c>
      <c r="Q8" s="18">
        <f>IFERROR('CheckoutGuard — Business pl (3)'!Q7/'CheckoutGuard — Business pl (3)'!Q6,"")</f>
        <v>0.7915927003699137</v>
      </c>
      <c r="R8" s="18">
        <f>IFERROR('CheckoutGuard — Business pl (3)'!R7/'CheckoutGuard — Business pl (3)'!R6,"")</f>
        <v>0.7915927003699136</v>
      </c>
      <c r="S8" s="18">
        <f>IFERROR('CheckoutGuard — Business pl (3)'!S7/'CheckoutGuard — Business pl (3)'!S6,"")</f>
        <v>0.791465</v>
      </c>
      <c r="T8" s="18">
        <f>IFERROR('CheckoutGuard — Business pl (3)'!T7/'CheckoutGuard — Business pl (3)'!T6,"")</f>
        <v>0.7915927003699137</v>
      </c>
      <c r="U8" s="18">
        <f>IFERROR('CheckoutGuard — Business pl (3)'!U7/'CheckoutGuard — Business pl (3)'!U6,"")</f>
        <v>0.7915927003699136</v>
      </c>
      <c r="V8" s="18">
        <f>IFERROR('CheckoutGuard — Business pl (3)'!V7/'CheckoutGuard — Business pl (3)'!V6,"")</f>
        <v>0.791465</v>
      </c>
      <c r="W8" s="18">
        <f>IFERROR('CheckoutGuard — Business pl (3)'!W7/'CheckoutGuard — Business pl (3)'!W6,"")</f>
        <v>0.7915927003699136</v>
      </c>
      <c r="X8" s="18">
        <f>IFERROR('CheckoutGuard — Business pl (3)'!X7/'CheckoutGuard — Business pl (3)'!X6,"")</f>
        <v>0.7915927003699136</v>
      </c>
      <c r="Y8" s="18">
        <f>IFERROR('CheckoutGuard — Business pl (3)'!Y7/'CheckoutGuard — Business pl (3)'!Y6,"")</f>
        <v>0.791465</v>
      </c>
      <c r="Z8" s="18">
        <f>IFERROR('CheckoutGuard — Business pl (3)'!Z7/'CheckoutGuard — Business pl (3)'!Z6,"")</f>
        <v>0.7915927003699137</v>
      </c>
      <c r="AA8" s="18">
        <f>IFERROR('CheckoutGuard — Business pl (3)'!AA7/'CheckoutGuard — Business pl (3)'!AA6,"")</f>
        <v>0.7915927003699136</v>
      </c>
      <c r="AB8" s="18">
        <f>IFERROR('CheckoutGuard — Business pl (3)'!AB7/'CheckoutGuard — Business pl (3)'!AB6,"")</f>
        <v>0.791465</v>
      </c>
      <c r="AC8" s="18">
        <f>IFERROR('CheckoutGuard — Business pl (3)'!AC7/'CheckoutGuard — Business pl (3)'!AC6,"")</f>
        <v>0.7915927003699138</v>
      </c>
      <c r="AD8" s="18">
        <f>IFERROR('CheckoutGuard — Business pl (3)'!AD7/'CheckoutGuard — Business pl (3)'!AD6,"")</f>
        <v>0.7915927003699137</v>
      </c>
      <c r="AE8" s="18">
        <f>IFERROR('CheckoutGuard — Business pl (3)'!AE7/'CheckoutGuard — Business pl (3)'!AE6,"")</f>
        <v>0.791465</v>
      </c>
      <c r="AF8" s="18">
        <f>IFERROR('CheckoutGuard — Business pl (3)'!AF7/'CheckoutGuard — Business pl (3)'!AF6,"")</f>
        <v>0.7915927003699136</v>
      </c>
      <c r="AG8" s="18">
        <f>IFERROR('CheckoutGuard — Business pl (3)'!AG7/'CheckoutGuard — Business pl (3)'!AG6,"")</f>
        <v>0.7915927003699136</v>
      </c>
      <c r="AH8" s="18">
        <f>IFERROR('CheckoutGuard — Business pl (3)'!AH7/'CheckoutGuard — Business pl (3)'!AH6,"")</f>
        <v>0.7914650000000001</v>
      </c>
      <c r="AI8" s="18">
        <f>IFERROR('CheckoutGuard — Business pl (3)'!AI7/'CheckoutGuard — Business pl (3)'!AI6,"")</f>
        <v>0.7915927003699137</v>
      </c>
      <c r="AJ8" s="18">
        <f>IFERROR('CheckoutGuard — Business pl (3)'!AJ7/'CheckoutGuard — Business pl (3)'!AJ6,"")</f>
        <v>0.7915927003699137</v>
      </c>
      <c r="AK8" s="18">
        <f>IFERROR('CheckoutGuard — Business pl (3)'!AK7/'CheckoutGuard — Business pl (3)'!AK6,"")</f>
        <v>0.791465</v>
      </c>
      <c r="AL8" s="18">
        <f>IFERROR('CheckoutGuard — Business pl (3)'!AL7/'CheckoutGuard — Business pl (3)'!AL6,"")</f>
        <v>0.7915927003699137</v>
      </c>
      <c r="AM8" s="18">
        <f>IFERROR('CheckoutGuard — Business pl (3)'!AM7/'CheckoutGuard — Business pl (3)'!AM6,"")</f>
        <v>0.7915927003699137</v>
      </c>
      <c r="AN8" s="18">
        <f>IFERROR('CheckoutGuard — Business pl (3)'!AN7/'CheckoutGuard — Business pl (3)'!AN6,"")</f>
        <v>0.7914649999999999</v>
      </c>
    </row>
    <row r="9">
      <c r="A9" t="inlineStr" s="8">
        <is>
          <t xml:space="preserve">Operating result</t>
        </is>
      </c>
      <c r="B9" s="14">
        <f>'CheckoutGuard — Business pl (3)'!B7-'CheckoutGuard — Assumptions (2)'!B13</f>
        <v>-2378.2951459293945</v>
      </c>
      <c r="C9" s="14">
        <f>'CheckoutGuard — Business pl (3)'!C7-'Model inputs'!AB37</f>
        <v>-5324.597984413034</v>
      </c>
      <c r="D9" s="14">
        <f>'CheckoutGuard — Business pl (3)'!D7-'Model inputs'!AB38</f>
        <v>2968.4099510724736</v>
      </c>
      <c r="E9" s="14">
        <f>'CheckoutGuard — Business pl (3)'!E7-'CheckoutGuard — Assumptions (2)'!B13</f>
        <v>-1934.492860942355</v>
      </c>
      <c r="F9" s="14">
        <f>'CheckoutGuard — Business pl (3)'!F7-'Model inputs'!AB37</f>
        <v>-5237.872665192383</v>
      </c>
      <c r="G9" s="14">
        <f>'CheckoutGuard — Business pl (3)'!G7-'Model inputs'!AB38</f>
        <v>4192.088732244818</v>
      </c>
      <c r="H9" s="14">
        <f>'CheckoutGuard — Business pl (3)'!H7-'CheckoutGuard — Assumptions (2)'!B13</f>
        <v>-1475.1819729744693</v>
      </c>
      <c r="I9" s="14">
        <f>'CheckoutGuard — Business pl (3)'!I7-'Model inputs'!AB37</f>
        <v>-5155.483611932764</v>
      </c>
      <c r="J9" s="14">
        <f>'CheckoutGuard — Business pl (3)'!J7-'Model inputs'!AB38</f>
        <v>5504.817696209215</v>
      </c>
      <c r="K9" s="14">
        <f>'CheckoutGuard — Business pl (3)'!K7-'CheckoutGuard — Assumptions (2)'!B13</f>
        <v>-999.3866065386392</v>
      </c>
      <c r="L9" s="14">
        <f>'CheckoutGuard — Business pl (3)'!L7-'Model inputs'!AB37</f>
        <v>-5077.214011336126</v>
      </c>
      <c r="M9" s="14">
        <f>'CheckoutGuard — Business pl (3)'!M7-'Model inputs'!AB38</f>
        <v>6913.897739983069</v>
      </c>
      <c r="N9" s="14">
        <f>'CheckoutGuard — Business pl (3)'!N7-'CheckoutGuard — Assumptions (2)'!B13</f>
        <v>-506.0881057335537</v>
      </c>
      <c r="O9" s="14">
        <f>'CheckoutGuard — Business pl (3)'!O7-'Model inputs'!AB37</f>
        <v>-5002.857890769319</v>
      </c>
      <c r="P9" s="14">
        <f>'CheckoutGuard — Business pl (3)'!P7-'Model inputs'!AB38</f>
        <v>8427.21029469729</v>
      </c>
      <c r="Q9" s="14">
        <f>'CheckoutGuard — Business pl (3)'!Q7-'CheckoutGuard — Assumptions (2)'!B13</f>
        <v>5.7772851778254335</v>
      </c>
      <c r="R9" s="14">
        <f>'CheckoutGuard — Business pl (3)'!R7-'Model inputs'!AB37</f>
        <v>-4932.219576230853</v>
      </c>
      <c r="S9" s="14">
        <f>'CheckoutGuard — Business pl (3)'!S7-'Model inputs'!AB38</f>
        <v>10053.26383907834</v>
      </c>
      <c r="T9" s="14">
        <f>'CheckoutGuard — Business pl (3)'!T7-'CheckoutGuard — Assumptions (2)'!B13</f>
        <v>537.3208517488329</v>
      </c>
      <c r="U9" s="14">
        <f>'CheckoutGuard — Business pl (3)'!U7-'Model inputs'!AB37</f>
        <v>-4865.113177419311</v>
      </c>
      <c r="V9" s="14">
        <f>'CheckoutGuard — Business pl (3)'!V7-'Model inputs'!AB38</f>
        <v>11801.244132593765</v>
      </c>
      <c r="W9" s="14">
        <f>'CheckoutGuard — Business pl (3)'!W7-'CheckoutGuard — Assumptions (2)'!B13</f>
        <v>1089.7039555790252</v>
      </c>
      <c r="X9" s="14">
        <f>'CheckoutGuard — Business pl (3)'!X7-'Model inputs'!AB37</f>
        <v>-4801.362098548345</v>
      </c>
      <c r="Y9" s="14">
        <f>'CheckoutGuard — Business pl (3)'!Y7-'Model inputs'!AB38</f>
        <v>13681.068465862641</v>
      </c>
      <c r="Z9" s="14">
        <f>'CheckoutGuard — Business pl (3)'!Z7-'CheckoutGuard — Assumptions (2)'!B13</f>
        <v>1664.140702763445</v>
      </c>
      <c r="AA9" s="14">
        <f>'CheckoutGuard — Business pl (3)'!AA7-'Model inputs'!AB37</f>
        <v>-4740.798573620928</v>
      </c>
      <c r="AB9" s="14">
        <f>'CheckoutGuard — Business pl (3)'!AB7-'Model inputs'!AB38</f>
        <v>15703.444249739798</v>
      </c>
      <c r="AC9" s="14">
        <f>'CheckoutGuard — Business pl (3)'!AC7-'CheckoutGuard — Assumptions (2)'!B13</f>
        <v>2261.9007408249236</v>
      </c>
      <c r="AD9" s="14">
        <f>'CheckoutGuard — Business pl (3)'!AD7-'Model inputs'!AB37</f>
        <v>-4683.263224939881</v>
      </c>
      <c r="AE9" s="14">
        <f>'CheckoutGuard — Business pl (3)'!AE7-'Model inputs'!AB38</f>
        <v>17879.932290194967</v>
      </c>
      <c r="AF9" s="14">
        <f>'CheckoutGuard — Business pl (3)'!AF7-'CheckoutGuard — Assumptions (2)'!B13</f>
        <v>2884.312190701774</v>
      </c>
      <c r="AG9" s="14">
        <f>'CheckoutGuard — Business pl (3)'!AG7-'Model inputs'!AB37</f>
        <v>-4628.604643692887</v>
      </c>
      <c r="AH9" s="14">
        <f>'CheckoutGuard — Business pl (3)'!AH7-'Model inputs'!AB38</f>
        <v>20223.01512387703</v>
      </c>
      <c r="AI9" s="14">
        <f>'CheckoutGuard — Business pl (3)'!AI7-'CheckoutGuard — Assumptions (2)'!B13</f>
        <v>3532.7647206874008</v>
      </c>
      <c r="AJ9" s="14">
        <f>'CheckoutGuard — Business pl (3)'!AJ7-'Model inputs'!AB37</f>
        <v>-4576.678991508243</v>
      </c>
      <c r="AK9" s="14">
        <f>'CheckoutGuard — Business pl (3)'!AK7-'Model inputs'!AB38</f>
        <v>22746.170819244333</v>
      </c>
      <c r="AL9" s="14">
        <f>'CheckoutGuard — Business pl (3)'!AL7-'CheckoutGuard — Assumptions (2)'!B13</f>
        <v>4208.7127695587915</v>
      </c>
      <c r="AM9" s="14">
        <f>'CheckoutGuard — Business pl (3)'!AM7-'Model inputs'!AB37</f>
        <v>-4527.349621932831</v>
      </c>
      <c r="AN9" s="14">
        <f>'CheckoutGuard — Business pl (3)'!AN7-'Model inputs'!AB38</f>
        <v>25463.95268053187</v>
      </c>
    </row>
    <row r="10">
      <c r="A10" t="inlineStr" s="8">
        <is>
          <t xml:space="preserve">Break-even subscriptions</t>
        </is>
      </c>
      <c r="B10" s="9">
        <f>IFERROR(CEILING('CheckoutGuard — Assumptions (2)'!B13/('CheckoutGuard — Business pl (3)'!B7/'CheckoutGuard — Business pl (3)'!B5),1),"")</f>
        <v>96</v>
      </c>
      <c r="C10" s="9">
        <f>IFERROR(CEILING('Model inputs'!AB37/('CheckoutGuard — Business pl (3)'!C7/'CheckoutGuard — Business pl (3)'!C5),1),"")</f>
        <v>96</v>
      </c>
      <c r="D10" s="9">
        <f>IFERROR(CEILING('Model inputs'!AB38/('CheckoutGuard — Business pl (3)'!D7/'CheckoutGuard — Business pl (3)'!D5),1),"")</f>
        <v>97</v>
      </c>
      <c r="E10" s="9">
        <f>IFERROR(CEILING('CheckoutGuard — Assumptions (2)'!B13/('CheckoutGuard — Business pl (3)'!E7/'CheckoutGuard — Business pl (3)'!E5),1),"")</f>
        <v>96</v>
      </c>
      <c r="F10" s="9">
        <f>IFERROR(CEILING('Model inputs'!AB37/('CheckoutGuard — Business pl (3)'!F7/'CheckoutGuard — Business pl (3)'!F5),1),"")</f>
        <v>96</v>
      </c>
      <c r="G10" s="9">
        <f>IFERROR(CEILING('Model inputs'!AB38/('CheckoutGuard — Business pl (3)'!G7/'CheckoutGuard — Business pl (3)'!G5),1),"")</f>
        <v>97</v>
      </c>
      <c r="H10" s="9">
        <f>IFERROR(CEILING('CheckoutGuard — Assumptions (2)'!B13/('CheckoutGuard — Business pl (3)'!H7/'CheckoutGuard — Business pl (3)'!H5),1),"")</f>
        <v>96</v>
      </c>
      <c r="I10" s="9">
        <f>IFERROR(CEILING('Model inputs'!AB37/('CheckoutGuard — Business pl (3)'!I7/'CheckoutGuard — Business pl (3)'!I5),1),"")</f>
        <v>96</v>
      </c>
      <c r="J10" s="9">
        <f>IFERROR(CEILING('Model inputs'!AB38/('CheckoutGuard — Business pl (3)'!J7/'CheckoutGuard — Business pl (3)'!J5),1),"")</f>
        <v>97</v>
      </c>
      <c r="K10" s="9">
        <f>IFERROR(CEILING('CheckoutGuard — Assumptions (2)'!B13/('CheckoutGuard — Business pl (3)'!K7/'CheckoutGuard — Business pl (3)'!K5),1),"")</f>
        <v>96</v>
      </c>
      <c r="L10" s="9">
        <f>IFERROR(CEILING('Model inputs'!AB37/('CheckoutGuard — Business pl (3)'!L7/'CheckoutGuard — Business pl (3)'!L5),1),"")</f>
        <v>96</v>
      </c>
      <c r="M10" s="9">
        <f>IFERROR(CEILING('Model inputs'!AB38/('CheckoutGuard — Business pl (3)'!M7/'CheckoutGuard — Business pl (3)'!M5),1),"")</f>
        <v>97</v>
      </c>
      <c r="N10" s="9">
        <f>IFERROR(CEILING('CheckoutGuard — Assumptions (2)'!B13/('CheckoutGuard — Business pl (3)'!N7/'CheckoutGuard — Business pl (3)'!N5),1),"")</f>
        <v>96</v>
      </c>
      <c r="O10" s="9">
        <f>IFERROR(CEILING('Model inputs'!AB37/('CheckoutGuard — Business pl (3)'!O7/'CheckoutGuard — Business pl (3)'!O5),1),"")</f>
        <v>96</v>
      </c>
      <c r="P10" s="9">
        <f>IFERROR(CEILING('Model inputs'!AB38/('CheckoutGuard — Business pl (3)'!P7/'CheckoutGuard — Business pl (3)'!P5),1),"")</f>
        <v>97</v>
      </c>
      <c r="Q10" s="9">
        <f>IFERROR(CEILING('CheckoutGuard — Assumptions (2)'!B13/('CheckoutGuard — Business pl (3)'!Q7/'CheckoutGuard — Business pl (3)'!Q5),1),"")</f>
        <v>96</v>
      </c>
      <c r="R10" s="9">
        <f>IFERROR(CEILING('Model inputs'!AB37/('CheckoutGuard — Business pl (3)'!R7/'CheckoutGuard — Business pl (3)'!R5),1),"")</f>
        <v>96</v>
      </c>
      <c r="S10" s="9">
        <f>IFERROR(CEILING('Model inputs'!AB38/('CheckoutGuard — Business pl (3)'!S7/'CheckoutGuard — Business pl (3)'!S5),1),"")</f>
        <v>97</v>
      </c>
      <c r="T10" s="9">
        <f>IFERROR(CEILING('CheckoutGuard — Assumptions (2)'!B13/('CheckoutGuard — Business pl (3)'!T7/'CheckoutGuard — Business pl (3)'!T5),1),"")</f>
        <v>96</v>
      </c>
      <c r="U10" s="9">
        <f>IFERROR(CEILING('Model inputs'!AB37/('CheckoutGuard — Business pl (3)'!U7/'CheckoutGuard — Business pl (3)'!U5),1),"")</f>
        <v>96</v>
      </c>
      <c r="V10" s="9">
        <f>IFERROR(CEILING('Model inputs'!AB38/('CheckoutGuard — Business pl (3)'!V7/'CheckoutGuard — Business pl (3)'!V5),1),"")</f>
        <v>97</v>
      </c>
      <c r="W10" s="9">
        <f>IFERROR(CEILING('CheckoutGuard — Assumptions (2)'!B13/('CheckoutGuard — Business pl (3)'!W7/'CheckoutGuard — Business pl (3)'!W5),1),"")</f>
        <v>96</v>
      </c>
      <c r="X10" s="9">
        <f>IFERROR(CEILING('Model inputs'!AB37/('CheckoutGuard — Business pl (3)'!X7/'CheckoutGuard — Business pl (3)'!X5),1),"")</f>
        <v>96</v>
      </c>
      <c r="Y10" s="9">
        <f>IFERROR(CEILING('Model inputs'!AB38/('CheckoutGuard — Business pl (3)'!Y7/'CheckoutGuard — Business pl (3)'!Y5),1),"")</f>
        <v>97</v>
      </c>
      <c r="Z10" s="9">
        <f>IFERROR(CEILING('CheckoutGuard — Assumptions (2)'!B13/('CheckoutGuard — Business pl (3)'!Z7/'CheckoutGuard — Business pl (3)'!Z5),1),"")</f>
        <v>96</v>
      </c>
      <c r="AA10" s="9">
        <f>IFERROR(CEILING('Model inputs'!AB37/('CheckoutGuard — Business pl (3)'!AA7/'CheckoutGuard — Business pl (3)'!AA5),1),"")</f>
        <v>96</v>
      </c>
      <c r="AB10" s="9">
        <f>IFERROR(CEILING('Model inputs'!AB38/('CheckoutGuard — Business pl (3)'!AB7/'CheckoutGuard — Business pl (3)'!AB5),1),"")</f>
        <v>97</v>
      </c>
      <c r="AC10" s="9">
        <f>IFERROR(CEILING('CheckoutGuard — Assumptions (2)'!B13/('CheckoutGuard — Business pl (3)'!AC7/'CheckoutGuard — Business pl (3)'!AC5),1),"")</f>
        <v>96</v>
      </c>
      <c r="AD10" s="9">
        <f>IFERROR(CEILING('Model inputs'!AB37/('CheckoutGuard — Business pl (3)'!AD7/'CheckoutGuard — Business pl (3)'!AD5),1),"")</f>
        <v>96</v>
      </c>
      <c r="AE10" s="9">
        <f>IFERROR(CEILING('Model inputs'!AB38/('CheckoutGuard — Business pl (3)'!AE7/'CheckoutGuard — Business pl (3)'!AE5),1),"")</f>
        <v>97</v>
      </c>
      <c r="AF10" s="9">
        <f>IFERROR(CEILING('CheckoutGuard — Assumptions (2)'!B13/('CheckoutGuard — Business pl (3)'!AF7/'CheckoutGuard — Business pl (3)'!AF5),1),"")</f>
        <v>96</v>
      </c>
      <c r="AG10" s="9">
        <f>IFERROR(CEILING('Model inputs'!AB37/('CheckoutGuard — Business pl (3)'!AG7/'CheckoutGuard — Business pl (3)'!AG5),1),"")</f>
        <v>96</v>
      </c>
      <c r="AH10" s="9">
        <f>IFERROR(CEILING('Model inputs'!AB38/('CheckoutGuard — Business pl (3)'!AH7/'CheckoutGuard — Business pl (3)'!AH5),1),"")</f>
        <v>97</v>
      </c>
      <c r="AI10" s="9">
        <f>IFERROR(CEILING('CheckoutGuard — Assumptions (2)'!B13/('CheckoutGuard — Business pl (3)'!AI7/'CheckoutGuard — Business pl (3)'!AI5),1),"")</f>
        <v>96</v>
      </c>
      <c r="AJ10" s="9">
        <f>IFERROR(CEILING('Model inputs'!AB37/('CheckoutGuard — Business pl (3)'!AJ7/'CheckoutGuard — Business pl (3)'!AJ5),1),"")</f>
        <v>96</v>
      </c>
      <c r="AK10" s="9">
        <f>IFERROR(CEILING('Model inputs'!AB38/('CheckoutGuard — Business pl (3)'!AK7/'CheckoutGuard — Business pl (3)'!AK5),1),"")</f>
        <v>97</v>
      </c>
      <c r="AL10" s="9">
        <f>IFERROR(CEILING('CheckoutGuard — Assumptions (2)'!B13/('CheckoutGuard — Business pl (3)'!AL7/'CheckoutGuard — Business pl (3)'!AL5),1),"")</f>
        <v>96</v>
      </c>
      <c r="AM10" s="9">
        <f>IFERROR(CEILING('Model inputs'!AB37/('CheckoutGuard — Business pl (3)'!AM7/'CheckoutGuard — Business pl (3)'!AM5),1),"")</f>
        <v>96</v>
      </c>
      <c r="AN10" s="9">
        <f>IFERROR(CEILING('Model inputs'!AB38/('CheckoutGuard — Business pl (3)'!AN7/'CheckoutGuard — Business pl (3)'!AN5),1),"")</f>
        <v>97</v>
      </c>
    </row>
    <row r="11">
      <c r="A11" t="inlineStr" s="5">
        <is>
          <t xml:space="preserve">Cumulative operating result</t>
        </is>
      </c>
      <c r="B11" s="11">
        <f>'CheckoutGuard — Forecast · Chec'!M49+'CheckoutGuard — Business pl (3)'!B9</f>
        <v>-54260.063208844746</v>
      </c>
      <c r="C11" s="11">
        <f>'Model inputs'!N32+'CheckoutGuard — Business pl (3)'!C9</f>
        <v>-71113.73749615235</v>
      </c>
      <c r="D11" s="11">
        <f>'Model inputs'!N33+'CheckoutGuard — Business pl (3)'!D9</f>
        <v>-25549.64998143189</v>
      </c>
      <c r="E11" s="11">
        <f>'CheckoutGuard — Business pl (3)'!B11+'CheckoutGuard — Business pl (3)'!E9</f>
        <v>-56194.5560697871</v>
      </c>
      <c r="F11" s="11">
        <f>'CheckoutGuard — Business pl (3)'!C11+'CheckoutGuard — Business pl (3)'!F9</f>
        <v>-76351.61016134472</v>
      </c>
      <c r="G11" s="11">
        <f>'CheckoutGuard — Business pl (3)'!D11+'CheckoutGuard — Business pl (3)'!G9</f>
        <v>-21357.56124918707</v>
      </c>
      <c r="H11" s="11">
        <f>'CheckoutGuard — Business pl (3)'!E11+'CheckoutGuard — Business pl (3)'!H9</f>
        <v>-57669.738042761564</v>
      </c>
      <c r="I11" s="11">
        <f>'CheckoutGuard — Business pl (3)'!F11+'CheckoutGuard — Business pl (3)'!I9</f>
        <v>-81507.09377327749</v>
      </c>
      <c r="J11" s="11">
        <f>'CheckoutGuard — Business pl (3)'!G11+'CheckoutGuard — Business pl (3)'!J9</f>
        <v>-15852.743552977856</v>
      </c>
      <c r="K11" s="11">
        <f>'CheckoutGuard — Business pl (3)'!H11+'CheckoutGuard — Business pl (3)'!K9</f>
        <v>-58669.1246493002</v>
      </c>
      <c r="L11" s="11">
        <f>'CheckoutGuard — Business pl (3)'!I11+'CheckoutGuard — Business pl (3)'!L9</f>
        <v>-86584.30778461361</v>
      </c>
      <c r="M11" s="11">
        <f>'CheckoutGuard — Business pl (3)'!J11+'CheckoutGuard — Business pl (3)'!M9</f>
        <v>-8938.845812994787</v>
      </c>
      <c r="N11" s="11">
        <f>'CheckoutGuard — Business pl (3)'!K11+'CheckoutGuard — Business pl (3)'!N9</f>
        <v>-59175.21275503376</v>
      </c>
      <c r="O11" s="11">
        <f>'CheckoutGuard — Business pl (3)'!L11+'CheckoutGuard — Business pl (3)'!O9</f>
        <v>-91587.16567538293</v>
      </c>
      <c r="P11" s="11">
        <f>'CheckoutGuard — Business pl (3)'!M11+'CheckoutGuard — Business pl (3)'!P9</f>
        <v>-511.6355182974967</v>
      </c>
      <c r="Q11" s="11">
        <f>'CheckoutGuard — Business pl (3)'!N11+'CheckoutGuard — Business pl (3)'!Q9</f>
        <v>-59169.43546985593</v>
      </c>
      <c r="R11" s="11">
        <f>'CheckoutGuard — Business pl (3)'!O11+'CheckoutGuard — Business pl (3)'!R9</f>
        <v>-96519.38525161378</v>
      </c>
      <c r="S11" s="11">
        <f>'CheckoutGuard — Business pl (3)'!P11+'CheckoutGuard — Business pl (3)'!S9</f>
        <v>9541.628320780843</v>
      </c>
      <c r="T11" s="11">
        <f>'CheckoutGuard — Business pl (3)'!Q11+'CheckoutGuard — Business pl (3)'!T9</f>
        <v>-58632.1146181071</v>
      </c>
      <c r="U11" s="11">
        <f>'CheckoutGuard — Business pl (3)'!R11+'CheckoutGuard — Business pl (3)'!U9</f>
        <v>-101384.49842903309</v>
      </c>
      <c r="V11" s="11">
        <f>'CheckoutGuard — Business pl (3)'!S11+'CheckoutGuard — Business pl (3)'!V9</f>
        <v>21342.872453374606</v>
      </c>
      <c r="W11" s="11">
        <f>'CheckoutGuard — Business pl (3)'!T11+'CheckoutGuard — Business pl (3)'!W9</f>
        <v>-57542.41066252808</v>
      </c>
      <c r="X11" s="11">
        <f>'CheckoutGuard — Business pl (3)'!U11+'CheckoutGuard — Business pl (3)'!X9</f>
        <v>-106185.86052758143</v>
      </c>
      <c r="Y11" s="11">
        <f>'CheckoutGuard — Business pl (3)'!V11+'CheckoutGuard — Business pl (3)'!Y9</f>
        <v>35023.94091923725</v>
      </c>
      <c r="Z11" s="11">
        <f>'CheckoutGuard — Business pl (3)'!W11+'CheckoutGuard — Business pl (3)'!Z9</f>
        <v>-55878.26995976463</v>
      </c>
      <c r="AA11" s="11">
        <f>'CheckoutGuard — Business pl (3)'!X11+'CheckoutGuard — Business pl (3)'!AA9</f>
        <v>-110926.65910120236</v>
      </c>
      <c r="AB11" s="11">
        <f>'CheckoutGuard — Business pl (3)'!Y11+'CheckoutGuard — Business pl (3)'!AB9</f>
        <v>50727.385168977045</v>
      </c>
      <c r="AC11" s="11">
        <f>'CheckoutGuard — Business pl (3)'!Z11+'CheckoutGuard — Business pl (3)'!AC9</f>
        <v>-53616.369218939704</v>
      </c>
      <c r="AD11" s="11">
        <f>'CheckoutGuard — Business pl (3)'!AA11+'CheckoutGuard — Business pl (3)'!AD9</f>
        <v>-115609.92232614223</v>
      </c>
      <c r="AE11" s="11">
        <f>'CheckoutGuard — Business pl (3)'!AB11+'CheckoutGuard — Business pl (3)'!AE9</f>
        <v>68607.31745917202</v>
      </c>
      <c r="AF11" s="11">
        <f>'CheckoutGuard — Business pl (3)'!AC11+'CheckoutGuard — Business pl (3)'!AF9</f>
        <v>-50732.057028237934</v>
      </c>
      <c r="AG11" s="11">
        <f>'CheckoutGuard — Business pl (3)'!AD11+'CheckoutGuard — Business pl (3)'!AG9</f>
        <v>-120238.52696983512</v>
      </c>
      <c r="AH11" s="11">
        <f>'CheckoutGuard — Business pl (3)'!AE11+'CheckoutGuard — Business pl (3)'!AH9</f>
        <v>88830.33258304905</v>
      </c>
      <c r="AI11" s="11">
        <f>'CheckoutGuard — Business pl (3)'!AF11+'CheckoutGuard — Business pl (3)'!AI9</f>
        <v>-47199.29230755053</v>
      </c>
      <c r="AJ11" s="11">
        <f>'CheckoutGuard — Business pl (3)'!AG11+'CheckoutGuard — Business pl (3)'!AJ9</f>
        <v>-124815.20596134337</v>
      </c>
      <c r="AK11" s="11">
        <f>'CheckoutGuard — Business pl (3)'!AH11+'CheckoutGuard — Business pl (3)'!AK9</f>
        <v>111576.50340229338</v>
      </c>
      <c r="AL11" s="11">
        <f>'CheckoutGuard — Business pl (3)'!AI11+'CheckoutGuard — Business pl (3)'!AL9</f>
        <v>-42990.57953799174</v>
      </c>
      <c r="AM11" s="11">
        <f>'CheckoutGuard — Business pl (3)'!AJ11+'CheckoutGuard — Business pl (3)'!AM9</f>
        <v>-129342.5555832762</v>
      </c>
      <c r="AN11" s="11">
        <f>'CheckoutGuard — Business pl (3)'!AK11+'CheckoutGuard — Business pl (3)'!AN9</f>
        <v>137040.45608282526</v>
      </c>
    </row>
  </sheetData>
  <mergeCells count="1">
    <mergeCell ref="A1:AN1"/>
  </mergeCells>
</worksheet>
</file>

<file path=xl/worksheets/sheet4.xml><?xml version="1.0" encoding="utf-8"?>
<worksheet xmlns="http://schemas.openxmlformats.org/spreadsheetml/2006/main">
  <dimension ref="A1:B2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CheckoutGuard — Assumptions · Cost and growth assumptions — not actuals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Input rate per million</t>
        </is>
      </c>
      <c r="B5" s="6">
        <f>0.25</f>
        <v>0.25</v>
      </c>
    </row>
    <row r="6">
      <c r="A6" t="inlineStr" s="8">
        <is>
          <t xml:space="preserve">Output rate per million</t>
        </is>
      </c>
      <c r="B6" s="9">
        <f>0.5</f>
        <v>0.5</v>
      </c>
    </row>
    <row r="7">
      <c r="A7" t="inlineStr" s="8">
        <is>
          <t xml:space="preserve">Provider cost multiplier</t>
        </is>
      </c>
      <c r="B7" s="9">
        <f>1</f>
        <v>1</v>
      </c>
    </row>
    <row r="8">
      <c r="A8" t="inlineStr" s="8">
        <is>
          <t xml:space="preserve">Extra attempt ratio</t>
        </is>
      </c>
      <c r="B8" s="9">
        <f>0.2</f>
        <v>0.2</v>
      </c>
    </row>
    <row r="9">
      <c r="A9" t="inlineStr" s="8">
        <is>
          <t xml:space="preserve">Timeout token allowance ratio</t>
        </is>
      </c>
      <c r="B9" s="9">
        <f>1</f>
        <v>1</v>
      </c>
    </row>
    <row r="10">
      <c r="A10" t="inlineStr" s="8">
        <is>
          <t xml:space="preserve">Browser seconds per attempt</t>
        </is>
      </c>
      <c r="B10" s="9">
        <f>45</f>
        <v>45</v>
      </c>
    </row>
    <row r="11">
      <c r="A11" t="inlineStr" s="8">
        <is>
          <t xml:space="preserve">Browser cost per hour</t>
        </is>
      </c>
      <c r="B11" s="9">
        <f>0.12</f>
        <v>0.12</v>
      </c>
    </row>
    <row r="12">
      <c r="A12" t="inlineStr" s="8">
        <is>
          <t xml:space="preserve">Database cost per run</t>
        </is>
      </c>
      <c r="B12" s="9">
        <f>0.002</f>
        <v>0.002</v>
      </c>
    </row>
    <row r="13">
      <c r="A13" t="inlineStr" s="8">
        <is>
          <t xml:space="preserve">Evidence cost per run</t>
        </is>
      </c>
      <c r="B13" s="9">
        <f>0.001</f>
        <v>0.001</v>
      </c>
    </row>
    <row r="14">
      <c r="A14" t="inlineStr" s="8">
        <is>
          <t xml:space="preserve">Telemetry cost per run</t>
        </is>
      </c>
      <c r="B14" s="9">
        <f>0.0005</f>
        <v>0.0005</v>
      </c>
    </row>
    <row r="15">
      <c r="A15" t="inlineStr" s="8">
        <is>
          <t xml:space="preserve">Support minutes per run</t>
        </is>
      </c>
      <c r="B15" s="9">
        <f>0.02</f>
        <v>0.02</v>
      </c>
    </row>
    <row r="16">
      <c r="A16" t="inlineStr" s="8">
        <is>
          <t xml:space="preserve">Support cost per hour</t>
        </is>
      </c>
      <c r="B16" s="9">
        <f>30</f>
        <v>30</v>
      </c>
    </row>
    <row r="17">
      <c r="A17" t="inlineStr" s="8">
        <is>
          <t xml:space="preserve">Run utilization</t>
        </is>
      </c>
      <c r="B17" s="18">
        <f>0.5</f>
        <v>0.5</v>
      </c>
    </row>
    <row r="18">
      <c r="A18" t="inlineStr" s="8">
        <is>
          <t xml:space="preserve">Prospect monthly growth</t>
        </is>
      </c>
      <c r="B18" s="18">
        <f>0.05</f>
        <v>0.05</v>
      </c>
    </row>
    <row r="19">
      <c r="A19" t="inlineStr" s="8">
        <is>
          <t xml:space="preserve">Monthly churn</t>
        </is>
      </c>
      <c r="B19" s="18">
        <f>0.03</f>
        <v>0.03</v>
      </c>
    </row>
    <row r="20">
      <c r="A20" t="inlineStr" s="8">
        <is>
          <t xml:space="preserve">Fixed app hosting per month</t>
        </is>
      </c>
      <c r="B20" s="14">
        <f>150</f>
        <v>150</v>
      </c>
    </row>
    <row r="21">
      <c r="A21" t="inlineStr" s="8">
        <is>
          <t xml:space="preserve">Fixed database per month</t>
        </is>
      </c>
      <c r="B21" s="14">
        <f>60</f>
        <v>60</v>
      </c>
    </row>
    <row r="22">
      <c r="A22" t="inlineStr" s="8">
        <is>
          <t xml:space="preserve">Fixed telemetry per month</t>
        </is>
      </c>
      <c r="B22" s="14">
        <f>30</f>
        <v>30</v>
      </c>
    </row>
    <row r="23">
      <c r="A23" t="inlineStr" s="8">
        <is>
          <t xml:space="preserve">Other overhead per month</t>
        </is>
      </c>
      <c r="B23" s="14">
        <f>60</f>
        <v>60</v>
      </c>
    </row>
    <row r="24">
      <c r="A24" t="inlineStr" s="8">
        <is>
          <t xml:space="preserve">Founder compensation per month</t>
        </is>
      </c>
      <c r="B24" s="14">
        <f>6000</f>
        <v>6000</v>
      </c>
    </row>
    <row r="25">
      <c r="A25" t="inlineStr" s="5">
        <is>
          <t xml:space="preserve">Sales budget per month</t>
        </is>
      </c>
      <c r="B25" s="11">
        <f>500</f>
        <v>500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G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</cols>
  <sheetData>
    <row r="1" ht="32" customHeight="1">
      <c r="A1" t="inlineStr" s="1">
        <is>
          <t xml:space="preserve">CheckoutGuard — Assumptions · Workspace pricing options —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Monthly price</t>
        </is>
      </c>
      <c r="C4" t="inlineStr" s="4">
        <is>
          <t xml:space="preserve">Included runs</t>
        </is>
      </c>
      <c r="D4" t="inlineStr" s="4">
        <is>
          <t xml:space="preserve">Included workspaces</t>
        </is>
      </c>
      <c r="E4" t="inlineStr" s="4">
        <is>
          <t xml:space="preserve">Support minutes per workspace</t>
        </is>
      </c>
      <c r="F4" t="inlineStr" s="4">
        <is>
          <t xml:space="preserve">Monthly qualified prospects</t>
        </is>
      </c>
      <c r="G4" t="inlineStr" s="4">
        <is>
          <t xml:space="preserve">Paid conversion</t>
        </is>
      </c>
    </row>
    <row r="5">
      <c r="A5" t="inlineStr" s="5">
        <is>
          <t xml:space="preserve">Agency</t>
        </is>
      </c>
      <c r="B5" s="11">
        <f>'CheckoutGuard — Business pl (2)'!B5</f>
        <v>299</v>
      </c>
      <c r="C5" s="6">
        <f>'CheckoutGuard — Business pl (2)'!C5</f>
        <v>2000</v>
      </c>
      <c r="D5" s="6">
        <f>'CheckoutGuard — Business pl (2)'!D5</f>
        <v>10</v>
      </c>
      <c r="E5" s="6">
        <f>60</f>
        <v>60</v>
      </c>
      <c r="F5" s="6">
        <f>5</f>
        <v>5</v>
      </c>
      <c r="G5" s="19">
        <f>0.1</f>
        <v>0.1</v>
      </c>
    </row>
    <row r="6">
      <c r="A6" t="inlineStr" s="8">
        <is>
          <t xml:space="preserve">Developer</t>
        </is>
      </c>
      <c r="B6" s="14">
        <f>'CheckoutGuard — Business pl (2)'!B6</f>
        <v>29</v>
      </c>
      <c r="C6" s="9">
        <f>'CheckoutGuard — Business pl (2)'!C6</f>
        <v>100</v>
      </c>
      <c r="D6" s="9">
        <f>'CheckoutGuard — Business pl (2)'!D6</f>
        <v>1</v>
      </c>
      <c r="E6" s="9">
        <f>10</f>
        <v>10</v>
      </c>
      <c r="F6" s="9">
        <f>40</f>
        <v>40</v>
      </c>
      <c r="G6" s="18">
        <f>0.05</f>
        <v>0.05</v>
      </c>
    </row>
    <row r="7">
      <c r="A7" t="inlineStr" s="5">
        <is>
          <t xml:space="preserve">Team</t>
        </is>
      </c>
      <c r="B7" s="11">
        <f>'CheckoutGuard — Business pl (2)'!B7</f>
        <v>99</v>
      </c>
      <c r="C7" s="6">
        <f>'CheckoutGuard — Business pl (2)'!C7</f>
        <v>500</v>
      </c>
      <c r="D7" s="6">
        <f>'CheckoutGuard — Business pl (2)'!D7</f>
        <v>3</v>
      </c>
      <c r="E7" s="6">
        <f>25</f>
        <v>25</v>
      </c>
      <c r="F7" s="6">
        <f>20</f>
        <v>20</v>
      </c>
      <c r="G7" s="19">
        <f>0.1</f>
        <v>0.1</v>
      </c>
    </row>
  </sheetData>
  <mergeCells count="1">
    <mergeCell ref="A1:G1"/>
  </mergeCells>
</worksheet>
</file>

<file path=xl/worksheets/sheet6.xml><?xml version="1.0" encoding="utf-8"?>
<worksheet xmlns="http://schemas.openxmlformats.org/spreadsheetml/2006/main">
  <dimension ref="A1:B1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CheckoutGuard — Assumptions · Cost per run and contribution economics — estimates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Mean input tokens</t>
        </is>
      </c>
      <c r="B5" s="6">
        <f>AVERAGE('CheckoutGuard — Business plan ·'!B5,'CheckoutGuard — Business plan ·'!B6,'CheckoutGuard — Business plan ·'!B7)</f>
        <v>12230</v>
      </c>
    </row>
    <row r="6">
      <c r="A6" t="inlineStr" s="8">
        <is>
          <t xml:space="preserve">Mean output tokens</t>
        </is>
      </c>
      <c r="B6" s="9">
        <f>AVERAGE('CheckoutGuard — Business plan ·'!C5,'CheckoutGuard — Business plan ·'!C6,'CheckoutGuard — Business plan ·'!C7)</f>
        <v>194.33333333333334</v>
      </c>
    </row>
    <row r="7">
      <c r="A7" t="inlineStr" s="8">
        <is>
          <t xml:space="preserve">Mean elapsed seconds</t>
        </is>
      </c>
      <c r="B7" s="9">
        <f>AVERAGE('CheckoutGuard — Business plan ·'!D5,'CheckoutGuard — Business plan ·'!D6,'CheckoutGuard — Business plan ·'!D7)</f>
        <v>22.293333333333333</v>
      </c>
    </row>
    <row r="8">
      <c r="A8" t="inlineStr" s="8">
        <is>
          <t xml:space="preserve">Known token estimate per run</t>
        </is>
      </c>
      <c r="B8" s="10">
        <f>('CheckoutGuard — Assumptions (2)'!B5*'CheckoutGuard — Assumptions · C'!B5+'CheckoutGuard — Assumptions (2)'!B6*'CheckoutGuard — Assumptions · C'!B6)/1000000</f>
        <v>0.0031546666666666667</v>
      </c>
    </row>
    <row r="9">
      <c r="A9" t="inlineStr" s="8">
        <is>
          <t xml:space="preserve">AI allowance per completed run</t>
        </is>
      </c>
      <c r="B9" s="10">
        <f>'CheckoutGuard — Assumptions (2)'!B8*'CheckoutGuard — Assumptions · C'!B7*(1+'CheckoutGuard — Assumptions · C'!B8*'CheckoutGuard — Assumptions · C'!B9)</f>
        <v>0.0037856</v>
      </c>
    </row>
    <row r="10">
      <c r="A10" t="inlineStr" s="8">
        <is>
          <t xml:space="preserve">Browser cost per completed run</t>
        </is>
      </c>
      <c r="B10" s="10">
        <f>'CheckoutGuard — Assumptions · C'!B10/3600*'CheckoutGuard — Assumptions · C'!B11*(1+'CheckoutGuard — Assumptions · C'!B8)</f>
        <v>0.0018</v>
      </c>
    </row>
    <row r="11">
      <c r="A11" t="inlineStr" s="8">
        <is>
          <t xml:space="preserve">Support cost per run</t>
        </is>
      </c>
      <c r="B11" s="10">
        <f>'CheckoutGuard — Assumptions · C'!B15/60*'CheckoutGuard — Assumptions · C'!B16</f>
        <v>0.01</v>
      </c>
    </row>
    <row r="12">
      <c r="A12" t="inlineStr" s="8">
        <is>
          <t xml:space="preserve">Estimated cost per completed run</t>
        </is>
      </c>
      <c r="B12" s="10">
        <f>'CheckoutGuard — Assumptions (2)'!B9+'CheckoutGuard — Assumptions (2)'!B10+'CheckoutGuard — Assumptions · C'!B12+'CheckoutGuard — Assumptions · C'!B13+'CheckoutGuard — Assumptions · C'!B14+'CheckoutGuard — Assumptions (2)'!B11</f>
        <v>0.0190856</v>
      </c>
    </row>
    <row r="13">
      <c r="A13" t="inlineStr" s="5">
        <is>
          <t xml:space="preserve">Fixed monthly cost</t>
        </is>
      </c>
      <c r="B13" s="11">
        <f>'CheckoutGuard — Assumptions · C'!B20+'CheckoutGuard — Assumptions · C'!B21+'CheckoutGuard — Assumptions · C'!B22+'CheckoutGuard — Assumptions · C'!B23+'CheckoutGuard — Assumptions · C'!B24+'CheckoutGuard — Assumptions · C'!B25</f>
        <v>6800</v>
      </c>
    </row>
  </sheetData>
  <mergeCells count="1">
    <mergeCell ref="A1:B1"/>
  </mergeCells>
</worksheet>
</file>

<file path=xl/worksheets/sheet7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CheckoutGuard — Assumptions · Sensitivity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Payment processing rate</t>
        </is>
      </c>
      <c r="B5" s="19">
        <f>0.03</f>
        <v>0.03</v>
      </c>
    </row>
    <row r="6">
      <c r="A6" t="inlineStr" s="8">
        <is>
          <t xml:space="preserve">Payment transaction fee</t>
        </is>
      </c>
      <c r="B6" s="9">
        <f>0.3</f>
        <v>0.3</v>
      </c>
    </row>
    <row r="7">
      <c r="A7" t="inlineStr" s="8">
        <is>
          <t xml:space="preserve">Provider stress factor</t>
        </is>
      </c>
      <c r="B7" s="9">
        <f>10</f>
        <v>10</v>
      </c>
    </row>
    <row r="8">
      <c r="A8" t="inlineStr" s="8">
        <is>
          <t xml:space="preserve">Stress extra attempt ratio</t>
        </is>
      </c>
      <c r="B8" s="9">
        <f>1</f>
        <v>1</v>
      </c>
    </row>
    <row r="9">
      <c r="A9" t="inlineStr" s="8">
        <is>
          <t xml:space="preserve">Usage stress factor</t>
        </is>
      </c>
      <c r="B9" s="9">
        <f>2</f>
        <v>2</v>
      </c>
    </row>
    <row r="10">
      <c r="A10" t="inlineStr" s="8">
        <is>
          <t xml:space="preserve">Support stress factor</t>
        </is>
      </c>
      <c r="B10" s="9">
        <f>2</f>
        <v>2</v>
      </c>
    </row>
    <row r="11">
      <c r="A11" t="inlineStr" s="5">
        <is>
          <t xml:space="preserve">Browser stress factor</t>
        </is>
      </c>
      <c r="B11" s="6">
        <f>3</f>
        <v>3</v>
      </c>
    </row>
  </sheetData>
  <mergeCells count="1">
    <mergeCell ref="A1:B1"/>
  </mergeCells>
</worksheet>
</file>

<file path=xl/worksheets/sheet8.xml><?xml version="1.0" encoding="utf-8"?>
<worksheet xmlns="http://schemas.openxmlformats.org/spreadsheetml/2006/main">
  <dimension ref="A1:Z4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CheckoutGuard — Forecast · CheckoutGuard monthly forecast —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17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7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7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7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7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  <c r="Q4" t="inlineStr" s="17">
        <is>
          <t xml:space="preserve">2028-01</t>
        </is>
      </c>
      <c r="R4" t="inlineStr" s="4">
        <is>
          <t xml:space="preserve">2028-02</t>
        </is>
      </c>
      <c r="S4" t="inlineStr" s="4">
        <is>
          <t xml:space="preserve">2028-03</t>
        </is>
      </c>
      <c r="T4" t="inlineStr" s="17">
        <is>
          <t xml:space="preserve">2028-04</t>
        </is>
      </c>
      <c r="U4" t="inlineStr" s="4">
        <is>
          <t xml:space="preserve">2028-05</t>
        </is>
      </c>
      <c r="V4" t="inlineStr" s="4">
        <is>
          <t xml:space="preserve">2028-06</t>
        </is>
      </c>
      <c r="W4" t="inlineStr" s="17">
        <is>
          <t xml:space="preserve">2028-07</t>
        </is>
      </c>
      <c r="X4" t="inlineStr" s="4">
        <is>
          <t xml:space="preserve">2028-08</t>
        </is>
      </c>
      <c r="Y4" t="inlineStr" s="4">
        <is>
          <t xml:space="preserve">2028-09</t>
        </is>
      </c>
      <c r="Z4" t="inlineStr" s="17">
        <is>
          <t xml:space="preserve">2028-10</t>
        </is>
      </c>
    </row>
    <row r="5">
      <c r="A5" t="inlineStr" s="5">
        <is>
          <t xml:space="preserve">Qualified prospects</t>
        </is>
      </c>
      <c r="B5" s="6">
        <f>SUM('CheckoutGuard — Forecast · Chec'!B6,'CheckoutGuard — Forecast · Chec'!B7,'CheckoutGuard — Forecast · Chec'!B8)</f>
        <v>0</v>
      </c>
      <c r="C5" s="6">
        <f>SUM('CheckoutGuard — Forecast · Chec'!C6,'CheckoutGuard — Forecast · Chec'!C7,'CheckoutGuard — Forecast · Chec'!C8)</f>
        <v>65</v>
      </c>
      <c r="D5" s="6">
        <f>SUM('CheckoutGuard — Forecast · Chec'!D6,'CheckoutGuard — Forecast · Chec'!D7,'CheckoutGuard — Forecast · Chec'!D8)</f>
        <v>68.25</v>
      </c>
      <c r="E5" s="6">
        <f>SUM('CheckoutGuard — Forecast · Chec'!E6,'CheckoutGuard — Forecast · Chec'!E7,'CheckoutGuard — Forecast · Chec'!E8)</f>
        <v>71.66250000000001</v>
      </c>
      <c r="F5" s="6">
        <f>SUM('CheckoutGuard — Forecast · Chec'!F6,'CheckoutGuard — Forecast · Chec'!F7,'CheckoutGuard — Forecast · Chec'!F8)</f>
        <v>75.24562500000002</v>
      </c>
      <c r="G5" s="6">
        <f>SUM('CheckoutGuard — Forecast · Chec'!G6,'CheckoutGuard — Forecast · Chec'!G7,'CheckoutGuard — Forecast · Chec'!G8)</f>
        <v>79.00790625000002</v>
      </c>
      <c r="H5" s="6">
        <f>SUM('CheckoutGuard — Forecast · Chec'!H6,'CheckoutGuard — Forecast · Chec'!H7,'CheckoutGuard — Forecast · Chec'!H8)</f>
        <v>82.95830156250003</v>
      </c>
      <c r="I5" s="6">
        <f>SUM('CheckoutGuard — Forecast · Chec'!I6,'CheckoutGuard — Forecast · Chec'!I7,'CheckoutGuard — Forecast · Chec'!I8)</f>
        <v>87.10621664062502</v>
      </c>
      <c r="J5" s="6">
        <f>SUM('CheckoutGuard — Forecast · Chec'!J6,'CheckoutGuard — Forecast · Chec'!J7,'CheckoutGuard — Forecast · Chec'!J8)</f>
        <v>91.46152747265629</v>
      </c>
      <c r="K5" s="6">
        <f>SUM('CheckoutGuard — Forecast · Chec'!K6,'CheckoutGuard — Forecast · Chec'!K7,'CheckoutGuard — Forecast · Chec'!K8)</f>
        <v>96.0346038462891</v>
      </c>
      <c r="L5" s="6">
        <f>SUM('CheckoutGuard — Forecast · Chec'!L6,'CheckoutGuard — Forecast · Chec'!L7,'CheckoutGuard — Forecast · Chec'!L8)</f>
        <v>100.83633403860355</v>
      </c>
      <c r="M5" s="6">
        <f>SUM('CheckoutGuard — Forecast · Chec'!M6,'CheckoutGuard — Forecast · Chec'!M7,'CheckoutGuard — Forecast · Chec'!M8)</f>
        <v>105.87815074053373</v>
      </c>
      <c r="N5" s="6">
        <f>SUM('CheckoutGuard — Forecast · Chec'!N6,'CheckoutGuard — Forecast · Chec'!N7,'CheckoutGuard — Forecast · Chec'!N8)</f>
        <v>111.17205827756044</v>
      </c>
      <c r="O5" s="6">
        <f>SUM('CheckoutGuard — Forecast · Chec'!O6,'CheckoutGuard — Forecast · Chec'!O7,'CheckoutGuard — Forecast · Chec'!O8)</f>
        <v>116.73066119143846</v>
      </c>
      <c r="P5" s="6">
        <f>SUM('CheckoutGuard — Forecast · Chec'!P6,'CheckoutGuard — Forecast · Chec'!P7,'CheckoutGuard — Forecast · Chec'!P8)</f>
        <v>122.56719425101039</v>
      </c>
      <c r="Q5" s="6">
        <f>SUM('CheckoutGuard — Forecast · Chec'!Q6,'CheckoutGuard — Forecast · Chec'!Q7,'CheckoutGuard — Forecast · Chec'!Q8)</f>
        <v>128.6955539635609</v>
      </c>
      <c r="R5" s="6">
        <f>SUM('CheckoutGuard — Forecast · Chec'!R6,'CheckoutGuard — Forecast · Chec'!R7,'CheckoutGuard — Forecast · Chec'!R8)</f>
        <v>135.13033166173898</v>
      </c>
      <c r="S5" s="6">
        <f>SUM('CheckoutGuard — Forecast · Chec'!S6,'CheckoutGuard — Forecast · Chec'!S7,'CheckoutGuard — Forecast · Chec'!S8)</f>
        <v>141.8868482448259</v>
      </c>
      <c r="T5" s="6">
        <f>SUM('CheckoutGuard — Forecast · Chec'!T6,'CheckoutGuard — Forecast · Chec'!T7,'CheckoutGuard — Forecast · Chec'!T8)</f>
        <v>148.9811906570672</v>
      </c>
      <c r="U5" s="6">
        <f>SUM('CheckoutGuard — Forecast · Chec'!U6,'CheckoutGuard — Forecast · Chec'!U7,'CheckoutGuard — Forecast · Chec'!U8)</f>
        <v>156.43025018992057</v>
      </c>
      <c r="V5" s="6">
        <f>SUM('CheckoutGuard — Forecast · Chec'!V6,'CheckoutGuard — Forecast · Chec'!V7,'CheckoutGuard — Forecast · Chec'!V8)</f>
        <v>164.25176269941662</v>
      </c>
      <c r="W5" s="6">
        <f>SUM('CheckoutGuard — Forecast · Chec'!W6,'CheckoutGuard — Forecast · Chec'!W7,'CheckoutGuard — Forecast · Chec'!W8)</f>
        <v>172.46435083438743</v>
      </c>
      <c r="X5" s="6">
        <f>SUM('CheckoutGuard — Forecast · Chec'!X6,'CheckoutGuard — Forecast · Chec'!X7,'CheckoutGuard — Forecast · Chec'!X8)</f>
        <v>181.08756837610684</v>
      </c>
      <c r="Y5" s="6">
        <f>SUM('CheckoutGuard — Forecast · Chec'!Y6,'CheckoutGuard — Forecast · Chec'!Y7,'CheckoutGuard — Forecast · Chec'!Y8)</f>
        <v>190.1419467949122</v>
      </c>
      <c r="Z5" s="6">
        <f>SUM('CheckoutGuard — Forecast · Chec'!Z6,'CheckoutGuard — Forecast · Chec'!Z7,'CheckoutGuard — Forecast · Chec'!Z8)</f>
        <v>199.6490441346578</v>
      </c>
    </row>
    <row r="6" outlineLevel="1">
      <c r="A6" t="inlineStr" s="20">
        <is>
          <t xml:space="preserve">Agency</t>
        </is>
      </c>
      <c r="B6" s="9">
        <f>0</f>
        <v>0</v>
      </c>
      <c r="C6" s="9">
        <f>'CheckoutGuard — Assumptions · W'!F5*IF(AND((1+'CheckoutGuard — Assumptions · C'!B18)=0,DATEDIF(DATE(2026,11,1),DATE(2026,11,1),"M")=0),SQRT(-1),(1+'CheckoutGuard — Assumptions · C'!B18)^DATEDIF(DATE(2026,11,1),DATE(2026,11,1),"M"))</f>
        <v>5</v>
      </c>
      <c r="D6" s="9">
        <f>'CheckoutGuard — Assumptions · W'!F5*IF(AND((1+'CheckoutGuard — Assumptions · C'!B18)=0,DATEDIF(DATE(2026,11,1),DATE(2026,12,1),"M")=0),SQRT(-1),(1+'CheckoutGuard — Assumptions · C'!B18)^DATEDIF(DATE(2026,11,1),DATE(2026,12,1),"M"))</f>
        <v>5.25</v>
      </c>
      <c r="E6" s="9">
        <f>'CheckoutGuard — Assumptions · W'!F5*IF(AND((1+'CheckoutGuard — Assumptions · C'!B18)=0,DATEDIF(DATE(2026,11,1),DATE(2027,1,1),"M")=0),SQRT(-1),(1+'CheckoutGuard — Assumptions · C'!B18)^DATEDIF(DATE(2026,11,1),DATE(2027,1,1),"M"))</f>
        <v>5.5125</v>
      </c>
      <c r="F6" s="9">
        <f>'CheckoutGuard — Assumptions · W'!F5*IF(AND((1+'CheckoutGuard — Assumptions · C'!B18)=0,DATEDIF(DATE(2026,11,1),DATE(2027,2,1),"M")=0),SQRT(-1),(1+'CheckoutGuard — Assumptions · C'!B18)^DATEDIF(DATE(2026,11,1),DATE(2027,2,1),"M"))</f>
        <v>5.788125000000001</v>
      </c>
      <c r="G6" s="9">
        <f>'CheckoutGuard — Assumptions · W'!F5*IF(AND((1+'CheckoutGuard — Assumptions · C'!B18)=0,DATEDIF(DATE(2026,11,1),DATE(2027,3,1),"M")=0),SQRT(-1),(1+'CheckoutGuard — Assumptions · C'!B18)^DATEDIF(DATE(2026,11,1),DATE(2027,3,1),"M"))</f>
        <v>6.077531250000002</v>
      </c>
      <c r="H6" s="9">
        <f>'CheckoutGuard — Assumptions · W'!F5*IF(AND((1+'CheckoutGuard — Assumptions · C'!B18)=0,DATEDIF(DATE(2026,11,1),DATE(2027,4,1),"M")=0),SQRT(-1),(1+'CheckoutGuard — Assumptions · C'!B18)^DATEDIF(DATE(2026,11,1),DATE(2027,4,1),"M"))</f>
        <v>6.381407812500002</v>
      </c>
      <c r="I6" s="9">
        <f>'CheckoutGuard — Assumptions · W'!F5*IF(AND((1+'CheckoutGuard — Assumptions · C'!B18)=0,DATEDIF(DATE(2026,11,1),DATE(2027,5,1),"M")=0),SQRT(-1),(1+'CheckoutGuard — Assumptions · C'!B18)^DATEDIF(DATE(2026,11,1),DATE(2027,5,1),"M"))</f>
        <v>6.700478203125002</v>
      </c>
      <c r="J6" s="9">
        <f>'CheckoutGuard — Assumptions · W'!F5*IF(AND((1+'CheckoutGuard — Assumptions · C'!B18)=0,DATEDIF(DATE(2026,11,1),DATE(2027,6,1),"M")=0),SQRT(-1),(1+'CheckoutGuard — Assumptions · C'!B18)^DATEDIF(DATE(2026,11,1),DATE(2027,6,1),"M"))</f>
        <v>7.035502113281252</v>
      </c>
      <c r="K6" s="9">
        <f>'CheckoutGuard — Assumptions · W'!F5*IF(AND((1+'CheckoutGuard — Assumptions · C'!B18)=0,DATEDIF(DATE(2026,11,1),DATE(2027,7,1),"M")=0),SQRT(-1),(1+'CheckoutGuard — Assumptions · C'!B18)^DATEDIF(DATE(2026,11,1),DATE(2027,7,1),"M"))</f>
        <v>7.387277218945315</v>
      </c>
      <c r="L6" s="9">
        <f>'CheckoutGuard — Assumptions · W'!F5*IF(AND((1+'CheckoutGuard — Assumptions · C'!B18)=0,DATEDIF(DATE(2026,11,1),DATE(2027,8,1),"M")=0),SQRT(-1),(1+'CheckoutGuard — Assumptions · C'!B18)^DATEDIF(DATE(2026,11,1),DATE(2027,8,1),"M"))</f>
        <v>7.756641079892582</v>
      </c>
      <c r="M6" s="9">
        <f>'CheckoutGuard — Assumptions · W'!F5*IF(AND((1+'CheckoutGuard — Assumptions · C'!B18)=0,DATEDIF(DATE(2026,11,1),DATE(2027,9,1),"M")=0),SQRT(-1),(1+'CheckoutGuard — Assumptions · C'!B18)^DATEDIF(DATE(2026,11,1),DATE(2027,9,1),"M"))</f>
        <v>8.14447313388721</v>
      </c>
      <c r="N6" s="9">
        <f>'CheckoutGuard — Assumptions · W'!F5*IF(AND((1+'CheckoutGuard — Assumptions · C'!B18)=0,DATEDIF(DATE(2026,11,1),DATE(2027,10,1),"M")=0),SQRT(-1),(1+'CheckoutGuard — Assumptions · C'!B18)^DATEDIF(DATE(2026,11,1),DATE(2027,10,1),"M"))</f>
        <v>8.551696790581572</v>
      </c>
      <c r="O6" s="9">
        <f>'CheckoutGuard — Assumptions · W'!F5*IF(AND((1+'CheckoutGuard — Assumptions · C'!B18)=0,DATEDIF(DATE(2026,11,1),DATE(2027,11,1),"M")=0),SQRT(-1),(1+'CheckoutGuard — Assumptions · C'!B18)^DATEDIF(DATE(2026,11,1),DATE(2027,11,1),"M"))</f>
        <v>8.97928163011065</v>
      </c>
      <c r="P6" s="9">
        <f>'CheckoutGuard — Assumptions · W'!F5*IF(AND((1+'CheckoutGuard — Assumptions · C'!B18)=0,DATEDIF(DATE(2026,11,1),DATE(2027,12,1),"M")=0),SQRT(-1),(1+'CheckoutGuard — Assumptions · C'!B18)^DATEDIF(DATE(2026,11,1),DATE(2027,12,1),"M"))</f>
        <v>9.428245711616183</v>
      </c>
      <c r="Q6" s="9">
        <f>'CheckoutGuard — Assumptions · W'!F5*IF(AND((1+'CheckoutGuard — Assumptions · C'!B18)=0,DATEDIF(DATE(2026,11,1),DATE(2028,1,1),"M")=0),SQRT(-1),(1+'CheckoutGuard — Assumptions · C'!B18)^DATEDIF(DATE(2026,11,1),DATE(2028,1,1),"M"))</f>
        <v>9.899657997196993</v>
      </c>
      <c r="R6" s="9">
        <f>'CheckoutGuard — Assumptions · W'!F5*IF(AND((1+'CheckoutGuard — Assumptions · C'!B18)=0,DATEDIF(DATE(2026,11,1),DATE(2028,2,1),"M")=0),SQRT(-1),(1+'CheckoutGuard — Assumptions · C'!B18)^DATEDIF(DATE(2026,11,1),DATE(2028,2,1),"M"))</f>
        <v>10.394640897056844</v>
      </c>
      <c r="S6" s="9">
        <f>'CheckoutGuard — Assumptions · W'!F5*IF(AND((1+'CheckoutGuard — Assumptions · C'!B18)=0,DATEDIF(DATE(2026,11,1),DATE(2028,3,1),"M")=0),SQRT(-1),(1+'CheckoutGuard — Assumptions · C'!B18)^DATEDIF(DATE(2026,11,1),DATE(2028,3,1),"M"))</f>
        <v>10.914372941909685</v>
      </c>
      <c r="T6" s="9">
        <f>'CheckoutGuard — Assumptions · W'!F5*IF(AND((1+'CheckoutGuard — Assumptions · C'!B18)=0,DATEDIF(DATE(2026,11,1),DATE(2028,4,1),"M")=0),SQRT(-1),(1+'CheckoutGuard — Assumptions · C'!B18)^DATEDIF(DATE(2026,11,1),DATE(2028,4,1),"M"))</f>
        <v>11.46009158900517</v>
      </c>
      <c r="U6" s="9">
        <f>'CheckoutGuard — Assumptions · W'!F5*IF(AND((1+'CheckoutGuard — Assumptions · C'!B18)=0,DATEDIF(DATE(2026,11,1),DATE(2028,5,1),"M")=0),SQRT(-1),(1+'CheckoutGuard — Assumptions · C'!B18)^DATEDIF(DATE(2026,11,1),DATE(2028,5,1),"M"))</f>
        <v>12.033096168455428</v>
      </c>
      <c r="V6" s="9">
        <f>'CheckoutGuard — Assumptions · W'!F5*IF(AND((1+'CheckoutGuard — Assumptions · C'!B18)=0,DATEDIF(DATE(2026,11,1),DATE(2028,6,1),"M")=0),SQRT(-1),(1+'CheckoutGuard — Assumptions · C'!B18)^DATEDIF(DATE(2026,11,1),DATE(2028,6,1),"M"))</f>
        <v>12.634750976878202</v>
      </c>
      <c r="W6" s="9">
        <f>'CheckoutGuard — Assumptions · W'!F5*IF(AND((1+'CheckoutGuard — Assumptions · C'!B18)=0,DATEDIF(DATE(2026,11,1),DATE(2028,7,1),"M")=0),SQRT(-1),(1+'CheckoutGuard — Assumptions · C'!B18)^DATEDIF(DATE(2026,11,1),DATE(2028,7,1),"M"))</f>
        <v>13.26648852572211</v>
      </c>
      <c r="X6" s="9">
        <f>'CheckoutGuard — Assumptions · W'!F5*IF(AND((1+'CheckoutGuard — Assumptions · C'!B18)=0,DATEDIF(DATE(2026,11,1),DATE(2028,8,1),"M")=0),SQRT(-1),(1+'CheckoutGuard — Assumptions · C'!B18)^DATEDIF(DATE(2026,11,1),DATE(2028,8,1),"M"))</f>
        <v>13.929812952008218</v>
      </c>
      <c r="Y6" s="9">
        <f>'CheckoutGuard — Assumptions · W'!F5*IF(AND((1+'CheckoutGuard — Assumptions · C'!B18)=0,DATEDIF(DATE(2026,11,1),DATE(2028,9,1),"M")=0),SQRT(-1),(1+'CheckoutGuard — Assumptions · C'!B18)^DATEDIF(DATE(2026,11,1),DATE(2028,9,1),"M"))</f>
        <v>14.62630359960863</v>
      </c>
      <c r="Z6" s="9">
        <f>'CheckoutGuard — Assumptions · W'!F5*IF(AND((1+'CheckoutGuard — Assumptions · C'!B18)=0,DATEDIF(DATE(2026,11,1),DATE(2028,10,1),"M")=0),SQRT(-1),(1+'CheckoutGuard — Assumptions · C'!B18)^DATEDIF(DATE(2026,11,1),DATE(2028,10,1),"M"))</f>
        <v>15.357618779589062</v>
      </c>
    </row>
    <row r="7" outlineLevel="1">
      <c r="A7" t="inlineStr" s="20">
        <is>
          <t xml:space="preserve">Developer</t>
        </is>
      </c>
      <c r="B7" s="9">
        <f>0</f>
        <v>0</v>
      </c>
      <c r="C7" s="9">
        <f>'CheckoutGuard — Assumptions · W'!F6*IF(AND((1+'CheckoutGuard — Assumptions · C'!B18)=0,DATEDIF(DATE(2026,11,1),DATE(2026,11,1),"M")=0),SQRT(-1),(1+'CheckoutGuard — Assumptions · C'!B18)^DATEDIF(DATE(2026,11,1),DATE(2026,11,1),"M"))</f>
        <v>40</v>
      </c>
      <c r="D7" s="9">
        <f>'CheckoutGuard — Assumptions · W'!F6*IF(AND((1+'CheckoutGuard — Assumptions · C'!B18)=0,DATEDIF(DATE(2026,11,1),DATE(2026,12,1),"M")=0),SQRT(-1),(1+'CheckoutGuard — Assumptions · C'!B18)^DATEDIF(DATE(2026,11,1),DATE(2026,12,1),"M"))</f>
        <v>42</v>
      </c>
      <c r="E7" s="9">
        <f>'CheckoutGuard — Assumptions · W'!F6*IF(AND((1+'CheckoutGuard — Assumptions · C'!B18)=0,DATEDIF(DATE(2026,11,1),DATE(2027,1,1),"M")=0),SQRT(-1),(1+'CheckoutGuard — Assumptions · C'!B18)^DATEDIF(DATE(2026,11,1),DATE(2027,1,1),"M"))</f>
        <v>44.1</v>
      </c>
      <c r="F7" s="9">
        <f>'CheckoutGuard — Assumptions · W'!F6*IF(AND((1+'CheckoutGuard — Assumptions · C'!B18)=0,DATEDIF(DATE(2026,11,1),DATE(2027,2,1),"M")=0),SQRT(-1),(1+'CheckoutGuard — Assumptions · C'!B18)^DATEDIF(DATE(2026,11,1),DATE(2027,2,1),"M"))</f>
        <v>46.30500000000001</v>
      </c>
      <c r="G7" s="9">
        <f>'CheckoutGuard — Assumptions · W'!F6*IF(AND((1+'CheckoutGuard — Assumptions · C'!B18)=0,DATEDIF(DATE(2026,11,1),DATE(2027,3,1),"M")=0),SQRT(-1),(1+'CheckoutGuard — Assumptions · C'!B18)^DATEDIF(DATE(2026,11,1),DATE(2027,3,1),"M"))</f>
        <v>48.62025000000001</v>
      </c>
      <c r="H7" s="9">
        <f>'CheckoutGuard — Assumptions · W'!F6*IF(AND((1+'CheckoutGuard — Assumptions · C'!B18)=0,DATEDIF(DATE(2026,11,1),DATE(2027,4,1),"M")=0),SQRT(-1),(1+'CheckoutGuard — Assumptions · C'!B18)^DATEDIF(DATE(2026,11,1),DATE(2027,4,1),"M"))</f>
        <v>51.051262500000014</v>
      </c>
      <c r="I7" s="9">
        <f>'CheckoutGuard — Assumptions · W'!F6*IF(AND((1+'CheckoutGuard — Assumptions · C'!B18)=0,DATEDIF(DATE(2026,11,1),DATE(2027,5,1),"M")=0),SQRT(-1),(1+'CheckoutGuard — Assumptions · C'!B18)^DATEDIF(DATE(2026,11,1),DATE(2027,5,1),"M"))</f>
        <v>53.60382562500001</v>
      </c>
      <c r="J7" s="9">
        <f>'CheckoutGuard — Assumptions · W'!F6*IF(AND((1+'CheckoutGuard — Assumptions · C'!B18)=0,DATEDIF(DATE(2026,11,1),DATE(2027,6,1),"M")=0),SQRT(-1),(1+'CheckoutGuard — Assumptions · C'!B18)^DATEDIF(DATE(2026,11,1),DATE(2027,6,1),"M"))</f>
        <v>56.28401690625002</v>
      </c>
      <c r="K7" s="9">
        <f>'CheckoutGuard — Assumptions · W'!F6*IF(AND((1+'CheckoutGuard — Assumptions · C'!B18)=0,DATEDIF(DATE(2026,11,1),DATE(2027,7,1),"M")=0),SQRT(-1),(1+'CheckoutGuard — Assumptions · C'!B18)^DATEDIF(DATE(2026,11,1),DATE(2027,7,1),"M"))</f>
        <v>59.09821775156252</v>
      </c>
      <c r="L7" s="9">
        <f>'CheckoutGuard — Assumptions · W'!F6*IF(AND((1+'CheckoutGuard — Assumptions · C'!B18)=0,DATEDIF(DATE(2026,11,1),DATE(2027,8,1),"M")=0),SQRT(-1),(1+'CheckoutGuard — Assumptions · C'!B18)^DATEDIF(DATE(2026,11,1),DATE(2027,8,1),"M"))</f>
        <v>62.05312863914065</v>
      </c>
      <c r="M7" s="9">
        <f>'CheckoutGuard — Assumptions · W'!F6*IF(AND((1+'CheckoutGuard — Assumptions · C'!B18)=0,DATEDIF(DATE(2026,11,1),DATE(2027,9,1),"M")=0),SQRT(-1),(1+'CheckoutGuard — Assumptions · C'!B18)^DATEDIF(DATE(2026,11,1),DATE(2027,9,1),"M"))</f>
        <v>65.15578507109768</v>
      </c>
      <c r="N7" s="9">
        <f>'CheckoutGuard — Assumptions · W'!F6*IF(AND((1+'CheckoutGuard — Assumptions · C'!B18)=0,DATEDIF(DATE(2026,11,1),DATE(2027,10,1),"M")=0),SQRT(-1),(1+'CheckoutGuard — Assumptions · C'!B18)^DATEDIF(DATE(2026,11,1),DATE(2027,10,1),"M"))</f>
        <v>68.41357432465257</v>
      </c>
      <c r="O7" s="9">
        <f>'CheckoutGuard — Assumptions · W'!F6*IF(AND((1+'CheckoutGuard — Assumptions · C'!B18)=0,DATEDIF(DATE(2026,11,1),DATE(2027,11,1),"M")=0),SQRT(-1),(1+'CheckoutGuard — Assumptions · C'!B18)^DATEDIF(DATE(2026,11,1),DATE(2027,11,1),"M"))</f>
        <v>71.8342530408852</v>
      </c>
      <c r="P7" s="9">
        <f>'CheckoutGuard — Assumptions · W'!F6*IF(AND((1+'CheckoutGuard — Assumptions · C'!B18)=0,DATEDIF(DATE(2026,11,1),DATE(2027,12,1),"M")=0),SQRT(-1),(1+'CheckoutGuard — Assumptions · C'!B18)^DATEDIF(DATE(2026,11,1),DATE(2027,12,1),"M"))</f>
        <v>75.42596569292947</v>
      </c>
      <c r="Q7" s="9">
        <f>'CheckoutGuard — Assumptions · W'!F6*IF(AND((1+'CheckoutGuard — Assumptions · C'!B18)=0,DATEDIF(DATE(2026,11,1),DATE(2028,1,1),"M")=0),SQRT(-1),(1+'CheckoutGuard — Assumptions · C'!B18)^DATEDIF(DATE(2026,11,1),DATE(2028,1,1),"M"))</f>
        <v>79.19726397757594</v>
      </c>
      <c r="R7" s="9">
        <f>'CheckoutGuard — Assumptions · W'!F6*IF(AND((1+'CheckoutGuard — Assumptions · C'!B18)=0,DATEDIF(DATE(2026,11,1),DATE(2028,2,1),"M")=0),SQRT(-1),(1+'CheckoutGuard — Assumptions · C'!B18)^DATEDIF(DATE(2026,11,1),DATE(2028,2,1),"M"))</f>
        <v>83.15712717645475</v>
      </c>
      <c r="S7" s="9">
        <f>'CheckoutGuard — Assumptions · W'!F6*IF(AND((1+'CheckoutGuard — Assumptions · C'!B18)=0,DATEDIF(DATE(2026,11,1),DATE(2028,3,1),"M")=0),SQRT(-1),(1+'CheckoutGuard — Assumptions · C'!B18)^DATEDIF(DATE(2026,11,1),DATE(2028,3,1),"M"))</f>
        <v>87.31498353527748</v>
      </c>
      <c r="T7" s="9">
        <f>'CheckoutGuard — Assumptions · W'!F6*IF(AND((1+'CheckoutGuard — Assumptions · C'!B18)=0,DATEDIF(DATE(2026,11,1),DATE(2028,4,1),"M")=0),SQRT(-1),(1+'CheckoutGuard — Assumptions · C'!B18)^DATEDIF(DATE(2026,11,1),DATE(2028,4,1),"M"))</f>
        <v>91.68073271204136</v>
      </c>
      <c r="U7" s="9">
        <f>'CheckoutGuard — Assumptions · W'!F6*IF(AND((1+'CheckoutGuard — Assumptions · C'!B18)=0,DATEDIF(DATE(2026,11,1),DATE(2028,5,1),"M")=0),SQRT(-1),(1+'CheckoutGuard — Assumptions · C'!B18)^DATEDIF(DATE(2026,11,1),DATE(2028,5,1),"M"))</f>
        <v>96.26476934764342</v>
      </c>
      <c r="V7" s="9">
        <f>'CheckoutGuard — Assumptions · W'!F6*IF(AND((1+'CheckoutGuard — Assumptions · C'!B18)=0,DATEDIF(DATE(2026,11,1),DATE(2028,6,1),"M")=0),SQRT(-1),(1+'CheckoutGuard — Assumptions · C'!B18)^DATEDIF(DATE(2026,11,1),DATE(2028,6,1),"M"))</f>
        <v>101.07800781502561</v>
      </c>
      <c r="W7" s="9">
        <f>'CheckoutGuard — Assumptions · W'!F6*IF(AND((1+'CheckoutGuard — Assumptions · C'!B18)=0,DATEDIF(DATE(2026,11,1),DATE(2028,7,1),"M")=0),SQRT(-1),(1+'CheckoutGuard — Assumptions · C'!B18)^DATEDIF(DATE(2026,11,1),DATE(2028,7,1),"M"))</f>
        <v>106.13190820577688</v>
      </c>
      <c r="X7" s="9">
        <f>'CheckoutGuard — Assumptions · W'!F6*IF(AND((1+'CheckoutGuard — Assumptions · C'!B18)=0,DATEDIF(DATE(2026,11,1),DATE(2028,8,1),"M")=0),SQRT(-1),(1+'CheckoutGuard — Assumptions · C'!B18)^DATEDIF(DATE(2026,11,1),DATE(2028,8,1),"M"))</f>
        <v>111.43850361606574</v>
      </c>
      <c r="Y7" s="9">
        <f>'CheckoutGuard — Assumptions · W'!F6*IF(AND((1+'CheckoutGuard — Assumptions · C'!B18)=0,DATEDIF(DATE(2026,11,1),DATE(2028,9,1),"M")=0),SQRT(-1),(1+'CheckoutGuard — Assumptions · C'!B18)^DATEDIF(DATE(2026,11,1),DATE(2028,9,1),"M"))</f>
        <v>117.01042879686904</v>
      </c>
      <c r="Z7" s="9">
        <f>'CheckoutGuard — Assumptions · W'!F6*IF(AND((1+'CheckoutGuard — Assumptions · C'!B18)=0,DATEDIF(DATE(2026,11,1),DATE(2028,10,1),"M")=0),SQRT(-1),(1+'CheckoutGuard — Assumptions · C'!B18)^DATEDIF(DATE(2026,11,1),DATE(2028,10,1),"M"))</f>
        <v>122.8609502367125</v>
      </c>
    </row>
    <row r="8" outlineLevel="1">
      <c r="A8" t="inlineStr" s="20">
        <is>
          <t xml:space="preserve">Team</t>
        </is>
      </c>
      <c r="B8" s="9">
        <f>0</f>
        <v>0</v>
      </c>
      <c r="C8" s="9">
        <f>'CheckoutGuard — Assumptions · W'!F7*IF(AND((1+'CheckoutGuard — Assumptions · C'!B18)=0,DATEDIF(DATE(2026,11,1),DATE(2026,11,1),"M")=0),SQRT(-1),(1+'CheckoutGuard — Assumptions · C'!B18)^DATEDIF(DATE(2026,11,1),DATE(2026,11,1),"M"))</f>
        <v>20</v>
      </c>
      <c r="D8" s="9">
        <f>'CheckoutGuard — Assumptions · W'!F7*IF(AND((1+'CheckoutGuard — Assumptions · C'!B18)=0,DATEDIF(DATE(2026,11,1),DATE(2026,12,1),"M")=0),SQRT(-1),(1+'CheckoutGuard — Assumptions · C'!B18)^DATEDIF(DATE(2026,11,1),DATE(2026,12,1),"M"))</f>
        <v>21</v>
      </c>
      <c r="E8" s="9">
        <f>'CheckoutGuard — Assumptions · W'!F7*IF(AND((1+'CheckoutGuard — Assumptions · C'!B18)=0,DATEDIF(DATE(2026,11,1),DATE(2027,1,1),"M")=0),SQRT(-1),(1+'CheckoutGuard — Assumptions · C'!B18)^DATEDIF(DATE(2026,11,1),DATE(2027,1,1),"M"))</f>
        <v>22.05</v>
      </c>
      <c r="F8" s="9">
        <f>'CheckoutGuard — Assumptions · W'!F7*IF(AND((1+'CheckoutGuard — Assumptions · C'!B18)=0,DATEDIF(DATE(2026,11,1),DATE(2027,2,1),"M")=0),SQRT(-1),(1+'CheckoutGuard — Assumptions · C'!B18)^DATEDIF(DATE(2026,11,1),DATE(2027,2,1),"M"))</f>
        <v>23.152500000000003</v>
      </c>
      <c r="G8" s="9">
        <f>'CheckoutGuard — Assumptions · W'!F7*IF(AND((1+'CheckoutGuard — Assumptions · C'!B18)=0,DATEDIF(DATE(2026,11,1),DATE(2027,3,1),"M")=0),SQRT(-1),(1+'CheckoutGuard — Assumptions · C'!B18)^DATEDIF(DATE(2026,11,1),DATE(2027,3,1),"M"))</f>
        <v>24.310125000000006</v>
      </c>
      <c r="H8" s="9">
        <f>'CheckoutGuard — Assumptions · W'!F7*IF(AND((1+'CheckoutGuard — Assumptions · C'!B18)=0,DATEDIF(DATE(2026,11,1),DATE(2027,4,1),"M")=0),SQRT(-1),(1+'CheckoutGuard — Assumptions · C'!B18)^DATEDIF(DATE(2026,11,1),DATE(2027,4,1),"M"))</f>
        <v>25.525631250000007</v>
      </c>
      <c r="I8" s="9">
        <f>'CheckoutGuard — Assumptions · W'!F7*IF(AND((1+'CheckoutGuard — Assumptions · C'!B18)=0,DATEDIF(DATE(2026,11,1),DATE(2027,5,1),"M")=0),SQRT(-1),(1+'CheckoutGuard — Assumptions · C'!B18)^DATEDIF(DATE(2026,11,1),DATE(2027,5,1),"M"))</f>
        <v>26.801912812500007</v>
      </c>
      <c r="J8" s="9">
        <f>'CheckoutGuard — Assumptions · W'!F7*IF(AND((1+'CheckoutGuard — Assumptions · C'!B18)=0,DATEDIF(DATE(2026,11,1),DATE(2027,6,1),"M")=0),SQRT(-1),(1+'CheckoutGuard — Assumptions · C'!B18)^DATEDIF(DATE(2026,11,1),DATE(2027,6,1),"M"))</f>
        <v>28.14200845312501</v>
      </c>
      <c r="K8" s="9">
        <f>'CheckoutGuard — Assumptions · W'!F7*IF(AND((1+'CheckoutGuard — Assumptions · C'!B18)=0,DATEDIF(DATE(2026,11,1),DATE(2027,7,1),"M")=0),SQRT(-1),(1+'CheckoutGuard — Assumptions · C'!B18)^DATEDIF(DATE(2026,11,1),DATE(2027,7,1),"M"))</f>
        <v>29.54910887578126</v>
      </c>
      <c r="L8" s="9">
        <f>'CheckoutGuard — Assumptions · W'!F7*IF(AND((1+'CheckoutGuard — Assumptions · C'!B18)=0,DATEDIF(DATE(2026,11,1),DATE(2027,8,1),"M")=0),SQRT(-1),(1+'CheckoutGuard — Assumptions · C'!B18)^DATEDIF(DATE(2026,11,1),DATE(2027,8,1),"M"))</f>
        <v>31.026564319570326</v>
      </c>
      <c r="M8" s="9">
        <f>'CheckoutGuard — Assumptions · W'!F7*IF(AND((1+'CheckoutGuard — Assumptions · C'!B18)=0,DATEDIF(DATE(2026,11,1),DATE(2027,9,1),"M")=0),SQRT(-1),(1+'CheckoutGuard — Assumptions · C'!B18)^DATEDIF(DATE(2026,11,1),DATE(2027,9,1),"M"))</f>
        <v>32.57789253554884</v>
      </c>
      <c r="N8" s="9">
        <f>'CheckoutGuard — Assumptions · W'!F7*IF(AND((1+'CheckoutGuard — Assumptions · C'!B18)=0,DATEDIF(DATE(2026,11,1),DATE(2027,10,1),"M")=0),SQRT(-1),(1+'CheckoutGuard — Assumptions · C'!B18)^DATEDIF(DATE(2026,11,1),DATE(2027,10,1),"M"))</f>
        <v>34.206787162326286</v>
      </c>
      <c r="O8" s="9">
        <f>'CheckoutGuard — Assumptions · W'!F7*IF(AND((1+'CheckoutGuard — Assumptions · C'!B18)=0,DATEDIF(DATE(2026,11,1),DATE(2027,11,1),"M")=0),SQRT(-1),(1+'CheckoutGuard — Assumptions · C'!B18)^DATEDIF(DATE(2026,11,1),DATE(2027,11,1),"M"))</f>
        <v>35.9171265204426</v>
      </c>
      <c r="P8" s="9">
        <f>'CheckoutGuard — Assumptions · W'!F7*IF(AND((1+'CheckoutGuard — Assumptions · C'!B18)=0,DATEDIF(DATE(2026,11,1),DATE(2027,12,1),"M")=0),SQRT(-1),(1+'CheckoutGuard — Assumptions · C'!B18)^DATEDIF(DATE(2026,11,1),DATE(2027,12,1),"M"))</f>
        <v>37.71298284646473</v>
      </c>
      <c r="Q8" s="9">
        <f>'CheckoutGuard — Assumptions · W'!F7*IF(AND((1+'CheckoutGuard — Assumptions · C'!B18)=0,DATEDIF(DATE(2026,11,1),DATE(2028,1,1),"M")=0),SQRT(-1),(1+'CheckoutGuard — Assumptions · C'!B18)^DATEDIF(DATE(2026,11,1),DATE(2028,1,1),"M"))</f>
        <v>39.59863198878797</v>
      </c>
      <c r="R8" s="9">
        <f>'CheckoutGuard — Assumptions · W'!F7*IF(AND((1+'CheckoutGuard — Assumptions · C'!B18)=0,DATEDIF(DATE(2026,11,1),DATE(2028,2,1),"M")=0),SQRT(-1),(1+'CheckoutGuard — Assumptions · C'!B18)^DATEDIF(DATE(2026,11,1),DATE(2028,2,1),"M"))</f>
        <v>41.578563588227375</v>
      </c>
      <c r="S8" s="9">
        <f>'CheckoutGuard — Assumptions · W'!F7*IF(AND((1+'CheckoutGuard — Assumptions · C'!B18)=0,DATEDIF(DATE(2026,11,1),DATE(2028,3,1),"M")=0),SQRT(-1),(1+'CheckoutGuard — Assumptions · C'!B18)^DATEDIF(DATE(2026,11,1),DATE(2028,3,1),"M"))</f>
        <v>43.65749176763874</v>
      </c>
      <c r="T8" s="9">
        <f>'CheckoutGuard — Assumptions · W'!F7*IF(AND((1+'CheckoutGuard — Assumptions · C'!B18)=0,DATEDIF(DATE(2026,11,1),DATE(2028,4,1),"M")=0),SQRT(-1),(1+'CheckoutGuard — Assumptions · C'!B18)^DATEDIF(DATE(2026,11,1),DATE(2028,4,1),"M"))</f>
        <v>45.84036635602068</v>
      </c>
      <c r="U8" s="9">
        <f>'CheckoutGuard — Assumptions · W'!F7*IF(AND((1+'CheckoutGuard — Assumptions · C'!B18)=0,DATEDIF(DATE(2026,11,1),DATE(2028,5,1),"M")=0),SQRT(-1),(1+'CheckoutGuard — Assumptions · C'!B18)^DATEDIF(DATE(2026,11,1),DATE(2028,5,1),"M"))</f>
        <v>48.13238467382171</v>
      </c>
      <c r="V8" s="9">
        <f>'CheckoutGuard — Assumptions · W'!F7*IF(AND((1+'CheckoutGuard — Assumptions · C'!B18)=0,DATEDIF(DATE(2026,11,1),DATE(2028,6,1),"M")=0),SQRT(-1),(1+'CheckoutGuard — Assumptions · C'!B18)^DATEDIF(DATE(2026,11,1),DATE(2028,6,1),"M"))</f>
        <v>50.53900390751281</v>
      </c>
      <c r="W8" s="9">
        <f>'CheckoutGuard — Assumptions · W'!F7*IF(AND((1+'CheckoutGuard — Assumptions · C'!B18)=0,DATEDIF(DATE(2026,11,1),DATE(2028,7,1),"M")=0),SQRT(-1),(1+'CheckoutGuard — Assumptions · C'!B18)^DATEDIF(DATE(2026,11,1),DATE(2028,7,1),"M"))</f>
        <v>53.06595410288844</v>
      </c>
      <c r="X8" s="9">
        <f>'CheckoutGuard — Assumptions · W'!F7*IF(AND((1+'CheckoutGuard — Assumptions · C'!B18)=0,DATEDIF(DATE(2026,11,1),DATE(2028,8,1),"M")=0),SQRT(-1),(1+'CheckoutGuard — Assumptions · C'!B18)^DATEDIF(DATE(2026,11,1),DATE(2028,8,1),"M"))</f>
        <v>55.71925180803287</v>
      </c>
      <c r="Y8" s="9">
        <f>'CheckoutGuard — Assumptions · W'!F7*IF(AND((1+'CheckoutGuard — Assumptions · C'!B18)=0,DATEDIF(DATE(2026,11,1),DATE(2028,9,1),"M")=0),SQRT(-1),(1+'CheckoutGuard — Assumptions · C'!B18)^DATEDIF(DATE(2026,11,1),DATE(2028,9,1),"M"))</f>
        <v>58.50521439843452</v>
      </c>
      <c r="Z8" s="9">
        <f>'CheckoutGuard — Assumptions · W'!F7*IF(AND((1+'CheckoutGuard — Assumptions · C'!B18)=0,DATEDIF(DATE(2026,11,1),DATE(2028,10,1),"M")=0),SQRT(-1),(1+'CheckoutGuard — Assumptions · C'!B18)^DATEDIF(DATE(2026,11,1),DATE(2028,10,1),"M"))</f>
        <v>61.43047511835625</v>
      </c>
    </row>
    <row r="9">
      <c r="A9" t="inlineStr" s="5">
        <is>
          <t xml:space="preserve">New paid subscriptions</t>
        </is>
      </c>
      <c r="B9" s="6">
        <f>SUM('CheckoutGuard — Forecast · Chec'!B10,'CheckoutGuard — Forecast · Chec'!B11,'CheckoutGuard — Forecast · Chec'!B12)</f>
        <v>0</v>
      </c>
      <c r="C9" s="6">
        <f>SUM('CheckoutGuard — Forecast · Chec'!C10,'CheckoutGuard — Forecast · Chec'!C11,'CheckoutGuard — Forecast · Chec'!C12)</f>
        <v>4.5</v>
      </c>
      <c r="D9" s="6">
        <f>SUM('CheckoutGuard — Forecast · Chec'!D10,'CheckoutGuard — Forecast · Chec'!D11,'CheckoutGuard — Forecast · Chec'!D12)</f>
        <v>4.725</v>
      </c>
      <c r="E9" s="6">
        <f>SUM('CheckoutGuard — Forecast · Chec'!E10,'CheckoutGuard — Forecast · Chec'!E11,'CheckoutGuard — Forecast · Chec'!E12)</f>
        <v>4.96125</v>
      </c>
      <c r="F9" s="6">
        <f>SUM('CheckoutGuard — Forecast · Chec'!F10,'CheckoutGuard — Forecast · Chec'!F11,'CheckoutGuard — Forecast · Chec'!F12)</f>
        <v>5.209312500000001</v>
      </c>
      <c r="G9" s="6">
        <f>SUM('CheckoutGuard — Forecast · Chec'!G10,'CheckoutGuard — Forecast · Chec'!G11,'CheckoutGuard — Forecast · Chec'!G12)</f>
        <v>5.469778125000002</v>
      </c>
      <c r="H9" s="6">
        <f>SUM('CheckoutGuard — Forecast · Chec'!H10,'CheckoutGuard — Forecast · Chec'!H11,'CheckoutGuard — Forecast · Chec'!H12)</f>
        <v>5.743267031250001</v>
      </c>
      <c r="I9" s="6">
        <f>SUM('CheckoutGuard — Forecast · Chec'!I10,'CheckoutGuard — Forecast · Chec'!I11,'CheckoutGuard — Forecast · Chec'!I12)</f>
        <v>6.030430382812502</v>
      </c>
      <c r="J9" s="6">
        <f>SUM('CheckoutGuard — Forecast · Chec'!J10,'CheckoutGuard — Forecast · Chec'!J11,'CheckoutGuard — Forecast · Chec'!J12)</f>
        <v>6.331951901953127</v>
      </c>
      <c r="K9" s="6">
        <f>SUM('CheckoutGuard — Forecast · Chec'!K10,'CheckoutGuard — Forecast · Chec'!K11,'CheckoutGuard — Forecast · Chec'!K12)</f>
        <v>6.648549497050785</v>
      </c>
      <c r="L9" s="6">
        <f>SUM('CheckoutGuard — Forecast · Chec'!L10,'CheckoutGuard — Forecast · Chec'!L11,'CheckoutGuard — Forecast · Chec'!L12)</f>
        <v>6.980976971903324</v>
      </c>
      <c r="M9" s="6">
        <f>SUM('CheckoutGuard — Forecast · Chec'!M10,'CheckoutGuard — Forecast · Chec'!M11,'CheckoutGuard — Forecast · Chec'!M12)</f>
        <v>7.33002582049849</v>
      </c>
      <c r="N9" s="6">
        <f>SUM('CheckoutGuard — Forecast · Chec'!N10,'CheckoutGuard — Forecast · Chec'!N11,'CheckoutGuard — Forecast · Chec'!N12)</f>
        <v>7.696527111523415</v>
      </c>
      <c r="O9" s="6">
        <f>SUM('CheckoutGuard — Forecast · Chec'!O10,'CheckoutGuard — Forecast · Chec'!O11,'CheckoutGuard — Forecast · Chec'!O12)</f>
        <v>8.081353467099586</v>
      </c>
      <c r="P9" s="6">
        <f>SUM('CheckoutGuard — Forecast · Chec'!P10,'CheckoutGuard — Forecast · Chec'!P11,'CheckoutGuard — Forecast · Chec'!P12)</f>
        <v>8.485421140454566</v>
      </c>
      <c r="Q9" s="6">
        <f>SUM('CheckoutGuard — Forecast · Chec'!Q10,'CheckoutGuard — Forecast · Chec'!Q11,'CheckoutGuard — Forecast · Chec'!Q12)</f>
        <v>8.909692197477295</v>
      </c>
      <c r="R9" s="6">
        <f>SUM('CheckoutGuard — Forecast · Chec'!R10,'CheckoutGuard — Forecast · Chec'!R11,'CheckoutGuard — Forecast · Chec'!R12)</f>
        <v>9.35517680735116</v>
      </c>
      <c r="S9" s="6">
        <f>SUM('CheckoutGuard — Forecast · Chec'!S10,'CheckoutGuard — Forecast · Chec'!S11,'CheckoutGuard — Forecast · Chec'!S12)</f>
        <v>9.822935647718715</v>
      </c>
      <c r="T9" s="6">
        <f>SUM('CheckoutGuard — Forecast · Chec'!T10,'CheckoutGuard — Forecast · Chec'!T11,'CheckoutGuard — Forecast · Chec'!T12)</f>
        <v>10.314082430104653</v>
      </c>
      <c r="U9" s="6">
        <f>SUM('CheckoutGuard — Forecast · Chec'!U10,'CheckoutGuard — Forecast · Chec'!U11,'CheckoutGuard — Forecast · Chec'!U12)</f>
        <v>10.829786551609885</v>
      </c>
      <c r="V9" s="6">
        <f>SUM('CheckoutGuard — Forecast · Chec'!V10,'CheckoutGuard — Forecast · Chec'!V11,'CheckoutGuard — Forecast · Chec'!V12)</f>
        <v>11.371275879190382</v>
      </c>
      <c r="W9" s="6">
        <f>SUM('CheckoutGuard — Forecast · Chec'!W10,'CheckoutGuard — Forecast · Chec'!W11,'CheckoutGuard — Forecast · Chec'!W12)</f>
        <v>11.9398396731499</v>
      </c>
      <c r="X9" s="6">
        <f>SUM('CheckoutGuard — Forecast · Chec'!X10,'CheckoutGuard — Forecast · Chec'!X11,'CheckoutGuard — Forecast · Chec'!X12)</f>
        <v>12.536831656807397</v>
      </c>
      <c r="Y9" s="6">
        <f>SUM('CheckoutGuard — Forecast · Chec'!Y10,'CheckoutGuard — Forecast · Chec'!Y11,'CheckoutGuard — Forecast · Chec'!Y12)</f>
        <v>13.163673239647768</v>
      </c>
      <c r="Z9" s="6">
        <f>SUM('CheckoutGuard — Forecast · Chec'!Z10,'CheckoutGuard — Forecast · Chec'!Z11,'CheckoutGuard — Forecast · Chec'!Z12)</f>
        <v>13.821856901630158</v>
      </c>
    </row>
    <row r="10" outlineLevel="1">
      <c r="A10" t="inlineStr" s="20">
        <is>
          <t xml:space="preserve">Agency</t>
        </is>
      </c>
      <c r="B10" s="9">
        <f>'CheckoutGuard — Forecast · Chec'!B6*'CheckoutGuard — Assumptions · W'!G5</f>
        <v>0</v>
      </c>
      <c r="C10" s="9">
        <f>'CheckoutGuard — Forecast · Chec'!C6*'CheckoutGuard — Assumptions · W'!G5</f>
        <v>0.5</v>
      </c>
      <c r="D10" s="9">
        <f>'CheckoutGuard — Forecast · Chec'!D6*'CheckoutGuard — Assumptions · W'!G5</f>
        <v>0.525</v>
      </c>
      <c r="E10" s="9">
        <f>'CheckoutGuard — Forecast · Chec'!E6*'CheckoutGuard — Assumptions · W'!G5</f>
        <v>0.55125</v>
      </c>
      <c r="F10" s="9">
        <f>'CheckoutGuard — Forecast · Chec'!F6*'CheckoutGuard — Assumptions · W'!G5</f>
        <v>0.5788125000000001</v>
      </c>
      <c r="G10" s="9">
        <f>'CheckoutGuard — Forecast · Chec'!G6*'CheckoutGuard — Assumptions · W'!G5</f>
        <v>0.6077531250000002</v>
      </c>
      <c r="H10" s="9">
        <f>'CheckoutGuard — Forecast · Chec'!H6*'CheckoutGuard — Assumptions · W'!G5</f>
        <v>0.6381407812500002</v>
      </c>
      <c r="I10" s="9">
        <f>'CheckoutGuard — Forecast · Chec'!I6*'CheckoutGuard — Assumptions · W'!G5</f>
        <v>0.6700478203125002</v>
      </c>
      <c r="J10" s="9">
        <f>'CheckoutGuard — Forecast · Chec'!J6*'CheckoutGuard — Assumptions · W'!G5</f>
        <v>0.7035502113281252</v>
      </c>
      <c r="K10" s="9">
        <f>'CheckoutGuard — Forecast · Chec'!K6*'CheckoutGuard — Assumptions · W'!G5</f>
        <v>0.7387277218945316</v>
      </c>
      <c r="L10" s="9">
        <f>'CheckoutGuard — Forecast · Chec'!L6*'CheckoutGuard — Assumptions · W'!G5</f>
        <v>0.7756641079892582</v>
      </c>
      <c r="M10" s="9">
        <f>'CheckoutGuard — Forecast · Chec'!M6*'CheckoutGuard — Assumptions · W'!G5</f>
        <v>0.8144473133887211</v>
      </c>
      <c r="N10" s="9">
        <f>'CheckoutGuard — Forecast · Chec'!N6*'CheckoutGuard — Assumptions · W'!G5</f>
        <v>0.8551696790581572</v>
      </c>
      <c r="O10" s="9">
        <f>'CheckoutGuard — Forecast · Chec'!O6*'CheckoutGuard — Assumptions · W'!G5</f>
        <v>0.897928163011065</v>
      </c>
      <c r="P10" s="9">
        <f>'CheckoutGuard — Forecast · Chec'!P6*'CheckoutGuard — Assumptions · W'!G5</f>
        <v>0.9428245711616183</v>
      </c>
      <c r="Q10" s="9">
        <f>'CheckoutGuard — Forecast · Chec'!Q6*'CheckoutGuard — Assumptions · W'!G5</f>
        <v>0.9899657997196993</v>
      </c>
      <c r="R10" s="9">
        <f>'CheckoutGuard — Forecast · Chec'!R6*'CheckoutGuard — Assumptions · W'!G5</f>
        <v>1.0394640897056844</v>
      </c>
      <c r="S10" s="9">
        <f>'CheckoutGuard — Forecast · Chec'!S6*'CheckoutGuard — Assumptions · W'!G5</f>
        <v>1.0914372941909685</v>
      </c>
      <c r="T10" s="9">
        <f>'CheckoutGuard — Forecast · Chec'!T6*'CheckoutGuard — Assumptions · W'!G5</f>
        <v>1.146009158900517</v>
      </c>
      <c r="U10" s="9">
        <f>'CheckoutGuard — Forecast · Chec'!U6*'CheckoutGuard — Assumptions · W'!G5</f>
        <v>1.2033096168455428</v>
      </c>
      <c r="V10" s="9">
        <f>'CheckoutGuard — Forecast · Chec'!V6*'CheckoutGuard — Assumptions · W'!G5</f>
        <v>1.2634750976878202</v>
      </c>
      <c r="W10" s="9">
        <f>'CheckoutGuard — Forecast · Chec'!W6*'CheckoutGuard — Assumptions · W'!G5</f>
        <v>1.326648852572211</v>
      </c>
      <c r="X10" s="9">
        <f>'CheckoutGuard — Forecast · Chec'!X6*'CheckoutGuard — Assumptions · W'!G5</f>
        <v>1.3929812952008218</v>
      </c>
      <c r="Y10" s="9">
        <f>'CheckoutGuard — Forecast · Chec'!Y6*'CheckoutGuard — Assumptions · W'!G5</f>
        <v>1.462630359960863</v>
      </c>
      <c r="Z10" s="9">
        <f>'CheckoutGuard — Forecast · Chec'!Z6*'CheckoutGuard — Assumptions · W'!G5</f>
        <v>1.5357618779589064</v>
      </c>
    </row>
    <row r="11" outlineLevel="1">
      <c r="A11" t="inlineStr" s="20">
        <is>
          <t xml:space="preserve">Developer</t>
        </is>
      </c>
      <c r="B11" s="9">
        <f>'CheckoutGuard — Forecast · Chec'!B7*'CheckoutGuard — Assumptions · W'!G6</f>
        <v>0</v>
      </c>
      <c r="C11" s="9">
        <f>'CheckoutGuard — Forecast · Chec'!C7*'CheckoutGuard — Assumptions · W'!G6</f>
        <v>2</v>
      </c>
      <c r="D11" s="9">
        <f>'CheckoutGuard — Forecast · Chec'!D7*'CheckoutGuard — Assumptions · W'!G6</f>
        <v>2.1</v>
      </c>
      <c r="E11" s="9">
        <f>'CheckoutGuard — Forecast · Chec'!E7*'CheckoutGuard — Assumptions · W'!G6</f>
        <v>2.205</v>
      </c>
      <c r="F11" s="9">
        <f>'CheckoutGuard — Forecast · Chec'!F7*'CheckoutGuard — Assumptions · W'!G6</f>
        <v>2.3152500000000003</v>
      </c>
      <c r="G11" s="9">
        <f>'CheckoutGuard — Forecast · Chec'!G7*'CheckoutGuard — Assumptions · W'!G6</f>
        <v>2.431012500000001</v>
      </c>
      <c r="H11" s="9">
        <f>'CheckoutGuard — Forecast · Chec'!H7*'CheckoutGuard — Assumptions · W'!G6</f>
        <v>2.5525631250000007</v>
      </c>
      <c r="I11" s="9">
        <f>'CheckoutGuard — Forecast · Chec'!I7*'CheckoutGuard — Assumptions · W'!G6</f>
        <v>2.680191281250001</v>
      </c>
      <c r="J11" s="9">
        <f>'CheckoutGuard — Forecast · Chec'!J7*'CheckoutGuard — Assumptions · W'!G6</f>
        <v>2.814200845312501</v>
      </c>
      <c r="K11" s="9">
        <f>'CheckoutGuard — Forecast · Chec'!K7*'CheckoutGuard — Assumptions · W'!G6</f>
        <v>2.9549108875781265</v>
      </c>
      <c r="L11" s="9">
        <f>'CheckoutGuard — Forecast · Chec'!L7*'CheckoutGuard — Assumptions · W'!G6</f>
        <v>3.102656431957033</v>
      </c>
      <c r="M11" s="9">
        <f>'CheckoutGuard — Forecast · Chec'!M7*'CheckoutGuard — Assumptions · W'!G6</f>
        <v>3.2577892535548845</v>
      </c>
      <c r="N11" s="9">
        <f>'CheckoutGuard — Forecast · Chec'!N7*'CheckoutGuard — Assumptions · W'!G6</f>
        <v>3.420678716232629</v>
      </c>
      <c r="O11" s="9">
        <f>'CheckoutGuard — Forecast · Chec'!O7*'CheckoutGuard — Assumptions · W'!G6</f>
        <v>3.59171265204426</v>
      </c>
      <c r="P11" s="9">
        <f>'CheckoutGuard — Forecast · Chec'!P7*'CheckoutGuard — Assumptions · W'!G6</f>
        <v>3.7712982846464733</v>
      </c>
      <c r="Q11" s="9">
        <f>'CheckoutGuard — Forecast · Chec'!Q7*'CheckoutGuard — Assumptions · W'!G6</f>
        <v>3.9598631988787973</v>
      </c>
      <c r="R11" s="9">
        <f>'CheckoutGuard — Forecast · Chec'!R7*'CheckoutGuard — Assumptions · W'!G6</f>
        <v>4.1578563588227375</v>
      </c>
      <c r="S11" s="9">
        <f>'CheckoutGuard — Forecast · Chec'!S7*'CheckoutGuard — Assumptions · W'!G6</f>
        <v>4.365749176763874</v>
      </c>
      <c r="T11" s="9">
        <f>'CheckoutGuard — Forecast · Chec'!T7*'CheckoutGuard — Assumptions · W'!G6</f>
        <v>4.584036635602068</v>
      </c>
      <c r="U11" s="9">
        <f>'CheckoutGuard — Forecast · Chec'!U7*'CheckoutGuard — Assumptions · W'!G6</f>
        <v>4.813238467382171</v>
      </c>
      <c r="V11" s="9">
        <f>'CheckoutGuard — Forecast · Chec'!V7*'CheckoutGuard — Assumptions · W'!G6</f>
        <v>5.053900390751281</v>
      </c>
      <c r="W11" s="9">
        <f>'CheckoutGuard — Forecast · Chec'!W7*'CheckoutGuard — Assumptions · W'!G6</f>
        <v>5.306595410288844</v>
      </c>
      <c r="X11" s="9">
        <f>'CheckoutGuard — Forecast · Chec'!X7*'CheckoutGuard — Assumptions · W'!G6</f>
        <v>5.571925180803287</v>
      </c>
      <c r="Y11" s="9">
        <f>'CheckoutGuard — Forecast · Chec'!Y7*'CheckoutGuard — Assumptions · W'!G6</f>
        <v>5.850521439843452</v>
      </c>
      <c r="Z11" s="9">
        <f>'CheckoutGuard — Forecast · Chec'!Z7*'CheckoutGuard — Assumptions · W'!G6</f>
        <v>6.143047511835626</v>
      </c>
    </row>
    <row r="12" outlineLevel="1">
      <c r="A12" t="inlineStr" s="20">
        <is>
          <t xml:space="preserve">Team</t>
        </is>
      </c>
      <c r="B12" s="9">
        <f>'CheckoutGuard — Forecast · Chec'!B8*'CheckoutGuard — Assumptions · W'!G7</f>
        <v>0</v>
      </c>
      <c r="C12" s="9">
        <f>'CheckoutGuard — Forecast · Chec'!C8*'CheckoutGuard — Assumptions · W'!G7</f>
        <v>2</v>
      </c>
      <c r="D12" s="9">
        <f>'CheckoutGuard — Forecast · Chec'!D8*'CheckoutGuard — Assumptions · W'!G7</f>
        <v>2.1</v>
      </c>
      <c r="E12" s="9">
        <f>'CheckoutGuard — Forecast · Chec'!E8*'CheckoutGuard — Assumptions · W'!G7</f>
        <v>2.205</v>
      </c>
      <c r="F12" s="9">
        <f>'CheckoutGuard — Forecast · Chec'!F8*'CheckoutGuard — Assumptions · W'!G7</f>
        <v>2.3152500000000003</v>
      </c>
      <c r="G12" s="9">
        <f>'CheckoutGuard — Forecast · Chec'!G8*'CheckoutGuard — Assumptions · W'!G7</f>
        <v>2.431012500000001</v>
      </c>
      <c r="H12" s="9">
        <f>'CheckoutGuard — Forecast · Chec'!H8*'CheckoutGuard — Assumptions · W'!G7</f>
        <v>2.5525631250000007</v>
      </c>
      <c r="I12" s="9">
        <f>'CheckoutGuard — Forecast · Chec'!I8*'CheckoutGuard — Assumptions · W'!G7</f>
        <v>2.680191281250001</v>
      </c>
      <c r="J12" s="9">
        <f>'CheckoutGuard — Forecast · Chec'!J8*'CheckoutGuard — Assumptions · W'!G7</f>
        <v>2.814200845312501</v>
      </c>
      <c r="K12" s="9">
        <f>'CheckoutGuard — Forecast · Chec'!K8*'CheckoutGuard — Assumptions · W'!G7</f>
        <v>2.9549108875781265</v>
      </c>
      <c r="L12" s="9">
        <f>'CheckoutGuard — Forecast · Chec'!L8*'CheckoutGuard — Assumptions · W'!G7</f>
        <v>3.102656431957033</v>
      </c>
      <c r="M12" s="9">
        <f>'CheckoutGuard — Forecast · Chec'!M8*'CheckoutGuard — Assumptions · W'!G7</f>
        <v>3.2577892535548845</v>
      </c>
      <c r="N12" s="9">
        <f>'CheckoutGuard — Forecast · Chec'!N8*'CheckoutGuard — Assumptions · W'!G7</f>
        <v>3.420678716232629</v>
      </c>
      <c r="O12" s="9">
        <f>'CheckoutGuard — Forecast · Chec'!O8*'CheckoutGuard — Assumptions · W'!G7</f>
        <v>3.59171265204426</v>
      </c>
      <c r="P12" s="9">
        <f>'CheckoutGuard — Forecast · Chec'!P8*'CheckoutGuard — Assumptions · W'!G7</f>
        <v>3.7712982846464733</v>
      </c>
      <c r="Q12" s="9">
        <f>'CheckoutGuard — Forecast · Chec'!Q8*'CheckoutGuard — Assumptions · W'!G7</f>
        <v>3.9598631988787973</v>
      </c>
      <c r="R12" s="9">
        <f>'CheckoutGuard — Forecast · Chec'!R8*'CheckoutGuard — Assumptions · W'!G7</f>
        <v>4.1578563588227375</v>
      </c>
      <c r="S12" s="9">
        <f>'CheckoutGuard — Forecast · Chec'!S8*'CheckoutGuard — Assumptions · W'!G7</f>
        <v>4.365749176763874</v>
      </c>
      <c r="T12" s="9">
        <f>'CheckoutGuard — Forecast · Chec'!T8*'CheckoutGuard — Assumptions · W'!G7</f>
        <v>4.584036635602068</v>
      </c>
      <c r="U12" s="9">
        <f>'CheckoutGuard — Forecast · Chec'!U8*'CheckoutGuard — Assumptions · W'!G7</f>
        <v>4.813238467382171</v>
      </c>
      <c r="V12" s="9">
        <f>'CheckoutGuard — Forecast · Chec'!V8*'CheckoutGuard — Assumptions · W'!G7</f>
        <v>5.053900390751281</v>
      </c>
      <c r="W12" s="9">
        <f>'CheckoutGuard — Forecast · Chec'!W8*'CheckoutGuard — Assumptions · W'!G7</f>
        <v>5.306595410288844</v>
      </c>
      <c r="X12" s="9">
        <f>'CheckoutGuard — Forecast · Chec'!X8*'CheckoutGuard — Assumptions · W'!G7</f>
        <v>5.571925180803287</v>
      </c>
      <c r="Y12" s="9">
        <f>'CheckoutGuard — Forecast · Chec'!Y8*'CheckoutGuard — Assumptions · W'!G7</f>
        <v>5.850521439843452</v>
      </c>
      <c r="Z12" s="9">
        <f>'CheckoutGuard — Forecast · Chec'!Z8*'CheckoutGuard — Assumptions · W'!G7</f>
        <v>6.143047511835626</v>
      </c>
    </row>
    <row r="13">
      <c r="A13" t="inlineStr" s="5">
        <is>
          <t xml:space="preserve">Lost subscriptions</t>
        </is>
      </c>
      <c r="B13" s="6">
        <f>SUM('CheckoutGuard — Forecast · Chec'!B14,'CheckoutGuard — Forecast · Chec'!B15,'CheckoutGuard — Forecast · Chec'!B16)</f>
        <v>0</v>
      </c>
      <c r="C13" s="6">
        <f>SUM('CheckoutGuard — Forecast · Chec'!C14,'CheckoutGuard — Forecast · Chec'!C15,'CheckoutGuard — Forecast · Chec'!C16)</f>
        <v>0</v>
      </c>
      <c r="D13" s="6">
        <f>SUM('CheckoutGuard — Forecast · Chec'!D14,'CheckoutGuard — Forecast · Chec'!D15,'CheckoutGuard — Forecast · Chec'!D16)</f>
        <v>0.135</v>
      </c>
      <c r="E13" s="6">
        <f>SUM('CheckoutGuard — Forecast · Chec'!E14,'CheckoutGuard — Forecast · Chec'!E15,'CheckoutGuard — Forecast · Chec'!E16)</f>
        <v>0.2727</v>
      </c>
      <c r="F13" s="6">
        <f>SUM('CheckoutGuard — Forecast · Chec'!F14,'CheckoutGuard — Forecast · Chec'!F15,'CheckoutGuard — Forecast · Chec'!F16)</f>
        <v>0.41335649999999996</v>
      </c>
      <c r="G13" s="6">
        <f>SUM('CheckoutGuard — Forecast · Chec'!G14,'CheckoutGuard — Forecast · Chec'!G15,'CheckoutGuard — Forecast · Chec'!G16)</f>
        <v>0.5572351799999999</v>
      </c>
      <c r="H13" s="6">
        <f>SUM('CheckoutGuard — Forecast · Chec'!H14,'CheckoutGuard — Forecast · Chec'!H15,'CheckoutGuard — Forecast · Chec'!H16)</f>
        <v>0.7046114683500001</v>
      </c>
      <c r="I13" s="6">
        <f>SUM('CheckoutGuard — Forecast · Chec'!I14,'CheckoutGuard — Forecast · Chec'!I15,'CheckoutGuard — Forecast · Chec'!I16)</f>
        <v>0.8557711352370001</v>
      </c>
      <c r="J13" s="6">
        <f>SUM('CheckoutGuard — Forecast · Chec'!J14,'CheckoutGuard — Forecast · Chec'!J15,'CheckoutGuard — Forecast · Chec'!J16)</f>
        <v>1.0110109126642652</v>
      </c>
      <c r="K13" s="6">
        <f>SUM('CheckoutGuard — Forecast · Chec'!K14,'CheckoutGuard — Forecast · Chec'!K15,'CheckoutGuard — Forecast · Chec'!K16)</f>
        <v>1.1706391423429312</v>
      </c>
      <c r="L13" s="6">
        <f>SUM('CheckoutGuard — Forecast · Chec'!L14,'CheckoutGuard — Forecast · Chec'!L15,'CheckoutGuard — Forecast · Chec'!L16)</f>
        <v>1.3349764529841668</v>
      </c>
      <c r="M13" s="6">
        <f>SUM('CheckoutGuard — Forecast · Chec'!M14,'CheckoutGuard — Forecast · Chec'!M15,'CheckoutGuard — Forecast · Chec'!M16)</f>
        <v>1.5043564685517414</v>
      </c>
      <c r="N13" s="6">
        <f>SUM('CheckoutGuard — Forecast · Chec'!N14,'CheckoutGuard — Forecast · Chec'!N15,'CheckoutGuard — Forecast · Chec'!N16)</f>
        <v>1.6791265491101441</v>
      </c>
      <c r="O13" s="6">
        <f>SUM('CheckoutGuard — Forecast · Chec'!O14,'CheckoutGuard — Forecast · Chec'!O15,'CheckoutGuard — Forecast · Chec'!O16)</f>
        <v>1.8596485659825421</v>
      </c>
      <c r="P13" s="6">
        <f>SUM('CheckoutGuard — Forecast · Chec'!P14,'CheckoutGuard — Forecast · Chec'!P15,'CheckoutGuard — Forecast · Chec'!P16)</f>
        <v>2.0462997130160536</v>
      </c>
      <c r="Q13" s="6">
        <f>SUM('CheckoutGuard — Forecast · Chec'!Q14,'CheckoutGuard — Forecast · Chec'!Q15,'CheckoutGuard — Forecast · Chec'!Q16)</f>
        <v>2.2394733558392086</v>
      </c>
      <c r="R13" s="6">
        <f>SUM('CheckoutGuard — Forecast · Chec'!R14,'CheckoutGuard — Forecast · Chec'!R15,'CheckoutGuard — Forecast · Chec'!R16)</f>
        <v>2.4395799210883515</v>
      </c>
      <c r="S13" s="6">
        <f>SUM('CheckoutGuard — Forecast · Chec'!S14,'CheckoutGuard — Forecast · Chec'!S15,'CheckoutGuard — Forecast · Chec'!S16)</f>
        <v>2.6470478276762357</v>
      </c>
      <c r="T13" s="6">
        <f>SUM('CheckoutGuard — Forecast · Chec'!T14,'CheckoutGuard — Forecast · Chec'!T15,'CheckoutGuard — Forecast · Chec'!T16)</f>
        <v>2.8623244622775106</v>
      </c>
      <c r="U13" s="6">
        <f>SUM('CheckoutGuard — Forecast · Chec'!U14,'CheckoutGuard — Forecast · Chec'!U15,'CheckoutGuard — Forecast · Chec'!U16)</f>
        <v>3.085877201312325</v>
      </c>
      <c r="V13" s="6">
        <f>SUM('CheckoutGuard — Forecast · Chec'!V14,'CheckoutGuard — Forecast · Chec'!V15,'CheckoutGuard — Forecast · Chec'!V16)</f>
        <v>3.3181944818212514</v>
      </c>
      <c r="W13" s="6">
        <f>SUM('CheckoutGuard — Forecast · Chec'!W14,'CheckoutGuard — Forecast · Chec'!W15,'CheckoutGuard — Forecast · Chec'!W16)</f>
        <v>3.559786923742325</v>
      </c>
      <c r="X13" s="6">
        <f>SUM('CheckoutGuard — Forecast · Chec'!X14,'CheckoutGuard — Forecast · Chec'!X15,'CheckoutGuard — Forecast · Chec'!X16)</f>
        <v>3.811188506224553</v>
      </c>
      <c r="Y13" s="6">
        <f>SUM('CheckoutGuard — Forecast · Chec'!Y14,'CheckoutGuard — Forecast · Chec'!Y15,'CheckoutGuard — Forecast · Chec'!Y16)</f>
        <v>4.072957800742039</v>
      </c>
      <c r="Z13" s="6">
        <f>SUM('CheckoutGuard — Forecast · Chec'!Z14,'CheckoutGuard — Forecast · Chec'!Z15,'CheckoutGuard — Forecast · Chec'!Z16)</f>
        <v>4.3456792639092106</v>
      </c>
    </row>
    <row r="14" outlineLevel="1">
      <c r="A14" t="inlineStr" s="20">
        <is>
          <t xml:space="preserve">Agency</t>
        </is>
      </c>
      <c r="B14" s="9">
        <f>'Model inputs'!B7*'CheckoutGuard — Assumptions · C'!B19</f>
        <v>0</v>
      </c>
      <c r="C14" s="9">
        <f>'CheckoutGuard — Forecast · Chec'!B18*'CheckoutGuard — Assumptions · C'!B19</f>
        <v>0</v>
      </c>
      <c r="D14" s="9">
        <f>'CheckoutGuard — Forecast · Chec'!C18*'CheckoutGuard — Assumptions · C'!B19</f>
        <v>0.015</v>
      </c>
      <c r="E14" s="9">
        <f>'CheckoutGuard — Forecast · Chec'!D18*'CheckoutGuard — Assumptions · C'!B19</f>
        <v>0.0303</v>
      </c>
      <c r="F14" s="9">
        <f>'CheckoutGuard — Forecast · Chec'!E18*'CheckoutGuard — Assumptions · C'!B19</f>
        <v>0.0459285</v>
      </c>
      <c r="G14" s="9">
        <f>'CheckoutGuard — Forecast · Chec'!F18*'CheckoutGuard — Assumptions · C'!B19</f>
        <v>0.061915019999999994</v>
      </c>
      <c r="H14" s="9">
        <f>'CheckoutGuard — Forecast · Chec'!G18*'CheckoutGuard — Assumptions · C'!B19</f>
        <v>0.07829016315000001</v>
      </c>
      <c r="I14" s="9">
        <f>'CheckoutGuard — Forecast · Chec'!H18*'CheckoutGuard — Assumptions · C'!B19</f>
        <v>0.09508568169300001</v>
      </c>
      <c r="J14" s="9">
        <f>'CheckoutGuard — Forecast · Chec'!I18*'CheckoutGuard — Assumptions · C'!B19</f>
        <v>0.11233454585158503</v>
      </c>
      <c r="K14" s="9">
        <f>'CheckoutGuard — Forecast · Chec'!J18*'CheckoutGuard — Assumptions · C'!B19</f>
        <v>0.13007101581588124</v>
      </c>
      <c r="L14" s="9">
        <f>'CheckoutGuard — Forecast · Chec'!K18*'CheckoutGuard — Assumptions · C'!B19</f>
        <v>0.14833071699824077</v>
      </c>
      <c r="M14" s="9">
        <f>'CheckoutGuard — Forecast · Chec'!L18*'CheckoutGuard — Assumptions · C'!B19</f>
        <v>0.16715071872797127</v>
      </c>
      <c r="N14" s="9">
        <f>'CheckoutGuard — Forecast · Chec'!M18*'CheckoutGuard — Assumptions · C'!B19</f>
        <v>0.18656961656779378</v>
      </c>
      <c r="O14" s="9">
        <f>'CheckoutGuard — Forecast · Chec'!N18*'CheckoutGuard — Assumptions · C'!B19</f>
        <v>0.20662761844250468</v>
      </c>
      <c r="P14" s="9">
        <f>'CheckoutGuard — Forecast · Chec'!O18*'CheckoutGuard — Assumptions · C'!B19</f>
        <v>0.2273666347795615</v>
      </c>
      <c r="Q14" s="9">
        <f>'CheckoutGuard — Forecast · Chec'!P18*'CheckoutGuard — Assumptions · C'!B19</f>
        <v>0.2488303728710232</v>
      </c>
      <c r="R14" s="9">
        <f>'CheckoutGuard — Forecast · Chec'!Q18*'CheckoutGuard — Assumptions · C'!B19</f>
        <v>0.27106443567648353</v>
      </c>
      <c r="S14" s="9">
        <f>'CheckoutGuard — Forecast · Chec'!R18*'CheckoutGuard — Assumptions · C'!B19</f>
        <v>0.29411642529735954</v>
      </c>
      <c r="T14" s="9">
        <f>'CheckoutGuard — Forecast · Chec'!S18*'CheckoutGuard — Assumptions · C'!B19</f>
        <v>0.31803605136416785</v>
      </c>
      <c r="U14" s="9">
        <f>'CheckoutGuard — Forecast · Chec'!T18*'CheckoutGuard — Assumptions · C'!B19</f>
        <v>0.34287524459025837</v>
      </c>
      <c r="V14" s="9">
        <f>'CheckoutGuard — Forecast · Chec'!U18*'CheckoutGuard — Assumptions · C'!B19</f>
        <v>0.36868827575791685</v>
      </c>
      <c r="W14" s="9">
        <f>'CheckoutGuard — Forecast · Chec'!V18*'CheckoutGuard — Assumptions · C'!B19</f>
        <v>0.39553188041581394</v>
      </c>
      <c r="X14" s="9">
        <f>'CheckoutGuard — Forecast · Chec'!W18*'CheckoutGuard — Assumptions · C'!B19</f>
        <v>0.4234653895805059</v>
      </c>
      <c r="Y14" s="9">
        <f>'CheckoutGuard — Forecast · Chec'!X18*'CheckoutGuard — Assumptions · C'!B19</f>
        <v>0.4525508667491154</v>
      </c>
      <c r="Z14" s="9">
        <f>'CheckoutGuard — Forecast · Chec'!Y18*'CheckoutGuard — Assumptions · C'!B19</f>
        <v>0.4828532515454678</v>
      </c>
    </row>
    <row r="15" outlineLevel="1">
      <c r="A15" t="inlineStr" s="20">
        <is>
          <t xml:space="preserve">Developer</t>
        </is>
      </c>
      <c r="B15" s="9">
        <f>'Model inputs'!B8*'CheckoutGuard — Assumptions · C'!B19</f>
        <v>0</v>
      </c>
      <c r="C15" s="9">
        <f>'CheckoutGuard — Forecast · Chec'!B19*'CheckoutGuard — Assumptions · C'!B19</f>
        <v>0</v>
      </c>
      <c r="D15" s="9">
        <f>'CheckoutGuard — Forecast · Chec'!C19*'CheckoutGuard — Assumptions · C'!B19</f>
        <v>0.06</v>
      </c>
      <c r="E15" s="9">
        <f>'CheckoutGuard — Forecast · Chec'!D19*'CheckoutGuard — Assumptions · C'!B19</f>
        <v>0.1212</v>
      </c>
      <c r="F15" s="9">
        <f>'CheckoutGuard — Forecast · Chec'!E19*'CheckoutGuard — Assumptions · C'!B19</f>
        <v>0.183714</v>
      </c>
      <c r="G15" s="9">
        <f>'CheckoutGuard — Forecast · Chec'!F19*'CheckoutGuard — Assumptions · C'!B19</f>
        <v>0.24766007999999998</v>
      </c>
      <c r="H15" s="9">
        <f>'CheckoutGuard — Forecast · Chec'!G19*'CheckoutGuard — Assumptions · C'!B19</f>
        <v>0.31316065260000003</v>
      </c>
      <c r="I15" s="9">
        <f>'CheckoutGuard — Forecast · Chec'!H19*'CheckoutGuard — Assumptions · C'!B19</f>
        <v>0.38034272677200004</v>
      </c>
      <c r="J15" s="9">
        <f>'CheckoutGuard — Forecast · Chec'!I19*'CheckoutGuard — Assumptions · C'!B19</f>
        <v>0.44933818340634013</v>
      </c>
      <c r="K15" s="9">
        <f>'CheckoutGuard — Forecast · Chec'!J19*'CheckoutGuard — Assumptions · C'!B19</f>
        <v>0.5202840632635249</v>
      </c>
      <c r="L15" s="9">
        <f>'CheckoutGuard — Forecast · Chec'!K19*'CheckoutGuard — Assumptions · C'!B19</f>
        <v>0.5933228679929631</v>
      </c>
      <c r="M15" s="9">
        <f>'CheckoutGuard — Forecast · Chec'!L19*'CheckoutGuard — Assumptions · C'!B19</f>
        <v>0.6686028749118851</v>
      </c>
      <c r="N15" s="9">
        <f>'CheckoutGuard — Forecast · Chec'!M19*'CheckoutGuard — Assumptions · C'!B19</f>
        <v>0.7462784662711751</v>
      </c>
      <c r="O15" s="9">
        <f>'CheckoutGuard — Forecast · Chec'!N19*'CheckoutGuard — Assumptions · C'!B19</f>
        <v>0.8265104737700187</v>
      </c>
      <c r="P15" s="9">
        <f>'CheckoutGuard — Forecast · Chec'!O19*'CheckoutGuard — Assumptions · C'!B19</f>
        <v>0.909466539118246</v>
      </c>
      <c r="Q15" s="9">
        <f>'CheckoutGuard — Forecast · Chec'!P19*'CheckoutGuard — Assumptions · C'!B19</f>
        <v>0.9953214914840928</v>
      </c>
      <c r="R15" s="9">
        <f>'CheckoutGuard — Forecast · Chec'!Q19*'CheckoutGuard — Assumptions · C'!B19</f>
        <v>1.0842577427059341</v>
      </c>
      <c r="S15" s="9">
        <f>'CheckoutGuard — Forecast · Chec'!R19*'CheckoutGuard — Assumptions · C'!B19</f>
        <v>1.1764657011894382</v>
      </c>
      <c r="T15" s="9">
        <f>'CheckoutGuard — Forecast · Chec'!S19*'CheckoutGuard — Assumptions · C'!B19</f>
        <v>1.2721442054566714</v>
      </c>
      <c r="U15" s="9">
        <f>'CheckoutGuard — Forecast · Chec'!T19*'CheckoutGuard — Assumptions · C'!B19</f>
        <v>1.3715009783610335</v>
      </c>
      <c r="V15" s="9">
        <f>'CheckoutGuard — Forecast · Chec'!U19*'CheckoutGuard — Assumptions · C'!B19</f>
        <v>1.4747531030316674</v>
      </c>
      <c r="W15" s="9">
        <f>'CheckoutGuard — Forecast · Chec'!V19*'CheckoutGuard — Assumptions · C'!B19</f>
        <v>1.5821275216632558</v>
      </c>
      <c r="X15" s="9">
        <f>'CheckoutGuard — Forecast · Chec'!W19*'CheckoutGuard — Assumptions · C'!B19</f>
        <v>1.6938615583220236</v>
      </c>
      <c r="Y15" s="9">
        <f>'CheckoutGuard — Forecast · Chec'!X19*'CheckoutGuard — Assumptions · C'!B19</f>
        <v>1.8102034669964615</v>
      </c>
      <c r="Z15" s="9">
        <f>'CheckoutGuard — Forecast · Chec'!Y19*'CheckoutGuard — Assumptions · C'!B19</f>
        <v>1.9314130061818713</v>
      </c>
    </row>
    <row r="16" outlineLevel="1">
      <c r="A16" t="inlineStr" s="20">
        <is>
          <t xml:space="preserve">Team</t>
        </is>
      </c>
      <c r="B16" s="9">
        <f>'Model inputs'!B9*'CheckoutGuard — Assumptions · C'!B19</f>
        <v>0</v>
      </c>
      <c r="C16" s="9">
        <f>'CheckoutGuard — Forecast · Chec'!B20*'CheckoutGuard — Assumptions · C'!B19</f>
        <v>0</v>
      </c>
      <c r="D16" s="9">
        <f>'CheckoutGuard — Forecast · Chec'!C20*'CheckoutGuard — Assumptions · C'!B19</f>
        <v>0.06</v>
      </c>
      <c r="E16" s="9">
        <f>'CheckoutGuard — Forecast · Chec'!D20*'CheckoutGuard — Assumptions · C'!B19</f>
        <v>0.1212</v>
      </c>
      <c r="F16" s="9">
        <f>'CheckoutGuard — Forecast · Chec'!E20*'CheckoutGuard — Assumptions · C'!B19</f>
        <v>0.183714</v>
      </c>
      <c r="G16" s="9">
        <f>'CheckoutGuard — Forecast · Chec'!F20*'CheckoutGuard — Assumptions · C'!B19</f>
        <v>0.24766007999999998</v>
      </c>
      <c r="H16" s="9">
        <f>'CheckoutGuard — Forecast · Chec'!G20*'CheckoutGuard — Assumptions · C'!B19</f>
        <v>0.31316065260000003</v>
      </c>
      <c r="I16" s="9">
        <f>'CheckoutGuard — Forecast · Chec'!H20*'CheckoutGuard — Assumptions · C'!B19</f>
        <v>0.38034272677200004</v>
      </c>
      <c r="J16" s="9">
        <f>'CheckoutGuard — Forecast · Chec'!I20*'CheckoutGuard — Assumptions · C'!B19</f>
        <v>0.44933818340634013</v>
      </c>
      <c r="K16" s="9">
        <f>'CheckoutGuard — Forecast · Chec'!J20*'CheckoutGuard — Assumptions · C'!B19</f>
        <v>0.5202840632635249</v>
      </c>
      <c r="L16" s="9">
        <f>'CheckoutGuard — Forecast · Chec'!K20*'CheckoutGuard — Assumptions · C'!B19</f>
        <v>0.5933228679929631</v>
      </c>
      <c r="M16" s="9">
        <f>'CheckoutGuard — Forecast · Chec'!L20*'CheckoutGuard — Assumptions · C'!B19</f>
        <v>0.6686028749118851</v>
      </c>
      <c r="N16" s="9">
        <f>'CheckoutGuard — Forecast · Chec'!M20*'CheckoutGuard — Assumptions · C'!B19</f>
        <v>0.7462784662711751</v>
      </c>
      <c r="O16" s="9">
        <f>'CheckoutGuard — Forecast · Chec'!N20*'CheckoutGuard — Assumptions · C'!B19</f>
        <v>0.8265104737700187</v>
      </c>
      <c r="P16" s="9">
        <f>'CheckoutGuard — Forecast · Chec'!O20*'CheckoutGuard — Assumptions · C'!B19</f>
        <v>0.909466539118246</v>
      </c>
      <c r="Q16" s="9">
        <f>'CheckoutGuard — Forecast · Chec'!P20*'CheckoutGuard — Assumptions · C'!B19</f>
        <v>0.9953214914840928</v>
      </c>
      <c r="R16" s="9">
        <f>'CheckoutGuard — Forecast · Chec'!Q20*'CheckoutGuard — Assumptions · C'!B19</f>
        <v>1.0842577427059341</v>
      </c>
      <c r="S16" s="9">
        <f>'CheckoutGuard — Forecast · Chec'!R20*'CheckoutGuard — Assumptions · C'!B19</f>
        <v>1.1764657011894382</v>
      </c>
      <c r="T16" s="9">
        <f>'CheckoutGuard — Forecast · Chec'!S20*'CheckoutGuard — Assumptions · C'!B19</f>
        <v>1.2721442054566714</v>
      </c>
      <c r="U16" s="9">
        <f>'CheckoutGuard — Forecast · Chec'!T20*'CheckoutGuard — Assumptions · C'!B19</f>
        <v>1.3715009783610335</v>
      </c>
      <c r="V16" s="9">
        <f>'CheckoutGuard — Forecast · Chec'!U20*'CheckoutGuard — Assumptions · C'!B19</f>
        <v>1.4747531030316674</v>
      </c>
      <c r="W16" s="9">
        <f>'CheckoutGuard — Forecast · Chec'!V20*'CheckoutGuard — Assumptions · C'!B19</f>
        <v>1.5821275216632558</v>
      </c>
      <c r="X16" s="9">
        <f>'CheckoutGuard — Forecast · Chec'!W20*'CheckoutGuard — Assumptions · C'!B19</f>
        <v>1.6938615583220236</v>
      </c>
      <c r="Y16" s="9">
        <f>'CheckoutGuard — Forecast · Chec'!X20*'CheckoutGuard — Assumptions · C'!B19</f>
        <v>1.8102034669964615</v>
      </c>
      <c r="Z16" s="9">
        <f>'CheckoutGuard — Forecast · Chec'!Y20*'CheckoutGuard — Assumptions · C'!B19</f>
        <v>1.9314130061818713</v>
      </c>
    </row>
    <row r="17">
      <c r="A17" t="inlineStr" s="5">
        <is>
          <t xml:space="preserve">Active subscriptions</t>
        </is>
      </c>
      <c r="B17" s="6">
        <f>SUM('CheckoutGuard — Forecast · Chec'!B18,'CheckoutGuard — Forecast · Chec'!B19,'CheckoutGuard — Forecast · Chec'!B20)</f>
        <v>0</v>
      </c>
      <c r="C17" s="6">
        <f>SUM('CheckoutGuard — Forecast · Chec'!C18,'CheckoutGuard — Forecast · Chec'!C19,'CheckoutGuard — Forecast · Chec'!C20)</f>
        <v>4.5</v>
      </c>
      <c r="D17" s="6">
        <f>SUM('CheckoutGuard — Forecast · Chec'!D18,'CheckoutGuard — Forecast · Chec'!D19,'CheckoutGuard — Forecast · Chec'!D20)</f>
        <v>9.09</v>
      </c>
      <c r="E17" s="6">
        <f>SUM('CheckoutGuard — Forecast · Chec'!E18,'CheckoutGuard — Forecast · Chec'!E19,'CheckoutGuard — Forecast · Chec'!E20)</f>
        <v>13.77855</v>
      </c>
      <c r="F17" s="6">
        <f>SUM('CheckoutGuard — Forecast · Chec'!F18,'CheckoutGuard — Forecast · Chec'!F19,'CheckoutGuard — Forecast · Chec'!F20)</f>
        <v>18.574506</v>
      </c>
      <c r="G17" s="6">
        <f>SUM('CheckoutGuard — Forecast · Chec'!G18,'CheckoutGuard — Forecast · Chec'!G19,'CheckoutGuard — Forecast · Chec'!G20)</f>
        <v>23.487048945000005</v>
      </c>
      <c r="H17" s="6">
        <f>SUM('CheckoutGuard — Forecast · Chec'!H18,'CheckoutGuard — Forecast · Chec'!H19,'CheckoutGuard — Forecast · Chec'!H20)</f>
        <v>28.525704507900002</v>
      </c>
      <c r="I17" s="6">
        <f>SUM('CheckoutGuard — Forecast · Chec'!I18,'CheckoutGuard — Forecast · Chec'!I19,'CheckoutGuard — Forecast · Chec'!I20)</f>
        <v>33.70036375547551</v>
      </c>
      <c r="J17" s="6">
        <f>SUM('CheckoutGuard — Forecast · Chec'!J18,'CheckoutGuard — Forecast · Chec'!J19,'CheckoutGuard — Forecast · Chec'!J20)</f>
        <v>39.02130474476438</v>
      </c>
      <c r="K17" s="6">
        <f>SUM('CheckoutGuard — Forecast · Chec'!K18,'CheckoutGuard — Forecast · Chec'!K19,'CheckoutGuard — Forecast · Chec'!K20)</f>
        <v>44.49921509947223</v>
      </c>
      <c r="L17" s="6">
        <f>SUM('CheckoutGuard — Forecast · Chec'!L18,'CheckoutGuard — Forecast · Chec'!L19,'CheckoutGuard — Forecast · Chec'!L20)</f>
        <v>50.14521561839139</v>
      </c>
      <c r="M17" s="6">
        <f>SUM('CheckoutGuard — Forecast · Chec'!M18,'CheckoutGuard — Forecast · Chec'!M19,'CheckoutGuard — Forecast · Chec'!M20)</f>
        <v>55.97088497033813</v>
      </c>
      <c r="N17" s="6">
        <f>SUM('CheckoutGuard — Forecast · Chec'!N18,'CheckoutGuard — Forecast · Chec'!N19,'CheckoutGuard — Forecast · Chec'!N20)</f>
        <v>61.988285532751405</v>
      </c>
      <c r="O17" s="6">
        <f>SUM('CheckoutGuard — Forecast · Chec'!O18,'CheckoutGuard — Forecast · Chec'!O19,'CheckoutGuard — Forecast · Chec'!O20)</f>
        <v>68.20999043386846</v>
      </c>
      <c r="P17" s="6">
        <f>SUM('CheckoutGuard — Forecast · Chec'!P18,'CheckoutGuard — Forecast · Chec'!P19,'CheckoutGuard — Forecast · Chec'!P20)</f>
        <v>74.64911186130696</v>
      </c>
      <c r="Q17" s="6">
        <f>SUM('CheckoutGuard — Forecast · Chec'!Q18,'CheckoutGuard — Forecast · Chec'!Q19,'CheckoutGuard — Forecast · Chec'!Q20)</f>
        <v>81.31933070294505</v>
      </c>
      <c r="R17" s="6">
        <f>SUM('CheckoutGuard — Forecast · Chec'!R18,'CheckoutGuard — Forecast · Chec'!R19,'CheckoutGuard — Forecast · Chec'!R20)</f>
        <v>88.23492758920787</v>
      </c>
      <c r="S17" s="6">
        <f>SUM('CheckoutGuard — Forecast · Chec'!S18,'CheckoutGuard — Forecast · Chec'!S19,'CheckoutGuard — Forecast · Chec'!S20)</f>
        <v>95.41081540925036</v>
      </c>
      <c r="T17" s="6">
        <f>SUM('CheckoutGuard — Forecast · Chec'!T18,'CheckoutGuard — Forecast · Chec'!T19,'CheckoutGuard — Forecast · Chec'!T20)</f>
        <v>102.86257337707751</v>
      </c>
      <c r="U17" s="6">
        <f>SUM('CheckoutGuard — Forecast · Chec'!U18,'CheckoutGuard — Forecast · Chec'!U19,'CheckoutGuard — Forecast · Chec'!U20)</f>
        <v>110.60648272737507</v>
      </c>
      <c r="V17" s="6">
        <f>SUM('CheckoutGuard — Forecast · Chec'!V18,'CheckoutGuard — Forecast · Chec'!V19,'CheckoutGuard — Forecast · Chec'!V20)</f>
        <v>118.6595641247442</v>
      </c>
      <c r="W17" s="6">
        <f>SUM('CheckoutGuard — Forecast · Chec'!W18,'CheckoutGuard — Forecast · Chec'!W19,'CheckoutGuard — Forecast · Chec'!W20)</f>
        <v>127.03961687415178</v>
      </c>
      <c r="X17" s="6">
        <f>SUM('CheckoutGuard — Forecast · Chec'!X18,'CheckoutGuard — Forecast · Chec'!X19,'CheckoutGuard — Forecast · Chec'!X20)</f>
        <v>135.76526002473463</v>
      </c>
      <c r="Y17" s="6">
        <f>SUM('CheckoutGuard — Forecast · Chec'!Y18,'CheckoutGuard — Forecast · Chec'!Y19,'CheckoutGuard — Forecast · Chec'!Y20)</f>
        <v>144.85597546364033</v>
      </c>
      <c r="Z17" s="6">
        <f>SUM('CheckoutGuard — Forecast · Chec'!Z18,'CheckoutGuard — Forecast · Chec'!Z19,'CheckoutGuard — Forecast · Chec'!Z20)</f>
        <v>154.33215310136129</v>
      </c>
    </row>
    <row r="18" outlineLevel="1">
      <c r="A18" t="inlineStr" s="20">
        <is>
          <t xml:space="preserve">Agency</t>
        </is>
      </c>
      <c r="B18" s="9">
        <f>0</f>
        <v>0</v>
      </c>
      <c r="C18" s="9">
        <f>'CheckoutGuard — Forecast · Chec'!B18+'CheckoutGuard — Forecast · Chec'!C10-'CheckoutGuard — Forecast · Chec'!C14</f>
        <v>0.5</v>
      </c>
      <c r="D18" s="9">
        <f>'CheckoutGuard — Forecast · Chec'!C18+'CheckoutGuard — Forecast · Chec'!D10-'CheckoutGuard — Forecast · Chec'!D14</f>
        <v>1.01</v>
      </c>
      <c r="E18" s="9">
        <f>'CheckoutGuard — Forecast · Chec'!D18+'CheckoutGuard — Forecast · Chec'!E10-'CheckoutGuard — Forecast · Chec'!E14</f>
        <v>1.53095</v>
      </c>
      <c r="F18" s="9">
        <f>'CheckoutGuard — Forecast · Chec'!E18+'CheckoutGuard — Forecast · Chec'!F10-'CheckoutGuard — Forecast · Chec'!F14</f>
        <v>2.063834</v>
      </c>
      <c r="G18" s="9">
        <f>'CheckoutGuard — Forecast · Chec'!F18+'CheckoutGuard — Forecast · Chec'!G10-'CheckoutGuard — Forecast · Chec'!G14</f>
        <v>2.6096721050000005</v>
      </c>
      <c r="H18" s="9">
        <f>'CheckoutGuard — Forecast · Chec'!G18+'CheckoutGuard — Forecast · Chec'!H10-'CheckoutGuard — Forecast · Chec'!H14</f>
        <v>3.1695227231000005</v>
      </c>
      <c r="I18" s="9">
        <f>'CheckoutGuard — Forecast · Chec'!H18+'CheckoutGuard — Forecast · Chec'!I10-'CheckoutGuard — Forecast · Chec'!I14</f>
        <v>3.744484861719501</v>
      </c>
      <c r="J18" s="9">
        <f>'CheckoutGuard — Forecast · Chec'!I18+'CheckoutGuard — Forecast · Chec'!J10-'CheckoutGuard — Forecast · Chec'!J14</f>
        <v>4.335700527196042</v>
      </c>
      <c r="K18" s="9">
        <f>'CheckoutGuard — Forecast · Chec'!J18+'CheckoutGuard — Forecast · Chec'!K10-'CheckoutGuard — Forecast · Chec'!K14</f>
        <v>4.944357233274692</v>
      </c>
      <c r="L18" s="9">
        <f>'CheckoutGuard — Forecast · Chec'!K18+'CheckoutGuard — Forecast · Chec'!L10-'CheckoutGuard — Forecast · Chec'!L14</f>
        <v>5.57169062426571</v>
      </c>
      <c r="M18" s="9">
        <f>'CheckoutGuard — Forecast · Chec'!L18+'CheckoutGuard — Forecast · Chec'!M10-'CheckoutGuard — Forecast · Chec'!M14</f>
        <v>6.2189872189264594</v>
      </c>
      <c r="N18" s="9">
        <f>'CheckoutGuard — Forecast · Chec'!M18+'CheckoutGuard — Forecast · Chec'!N10-'CheckoutGuard — Forecast · Chec'!N14</f>
        <v>6.887587281416823</v>
      </c>
      <c r="O18" s="9">
        <f>'CheckoutGuard — Forecast · Chec'!N18+'CheckoutGuard — Forecast · Chec'!O10-'CheckoutGuard — Forecast · Chec'!O14</f>
        <v>7.578887825985384</v>
      </c>
      <c r="P18" s="9">
        <f>'CheckoutGuard — Forecast · Chec'!O18+'CheckoutGuard — Forecast · Chec'!P10-'CheckoutGuard — Forecast · Chec'!P14</f>
        <v>8.29434576236744</v>
      </c>
      <c r="Q18" s="9">
        <f>'CheckoutGuard — Forecast · Chec'!P18+'CheckoutGuard — Forecast · Chec'!Q10-'CheckoutGuard — Forecast · Chec'!Q14</f>
        <v>9.035481189216117</v>
      </c>
      <c r="R18" s="9">
        <f>'CheckoutGuard — Forecast · Chec'!Q18+'CheckoutGuard — Forecast · Chec'!R10-'CheckoutGuard — Forecast · Chec'!R14</f>
        <v>9.803880843245318</v>
      </c>
      <c r="S18" s="9">
        <f>'CheckoutGuard — Forecast · Chec'!R18+'CheckoutGuard — Forecast · Chec'!S10-'CheckoutGuard — Forecast · Chec'!S14</f>
        <v>10.601201712138929</v>
      </c>
      <c r="T18" s="9">
        <f>'CheckoutGuard — Forecast · Chec'!S18+'CheckoutGuard — Forecast · Chec'!T10-'CheckoutGuard — Forecast · Chec'!T14</f>
        <v>11.429174819675278</v>
      </c>
      <c r="U18" s="9">
        <f>'CheckoutGuard — Forecast · Chec'!T18+'CheckoutGuard — Forecast · Chec'!U10-'CheckoutGuard — Forecast · Chec'!U14</f>
        <v>12.289609191930563</v>
      </c>
      <c r="V18" s="9">
        <f>'CheckoutGuard — Forecast · Chec'!U18+'CheckoutGuard — Forecast · Chec'!V10-'CheckoutGuard — Forecast · Chec'!V14</f>
        <v>13.184396013860466</v>
      </c>
      <c r="W18" s="9">
        <f>'CheckoutGuard — Forecast · Chec'!V18+'CheckoutGuard — Forecast · Chec'!W10-'CheckoutGuard — Forecast · Chec'!W14</f>
        <v>14.115512986016864</v>
      </c>
      <c r="X18" s="9">
        <f>'CheckoutGuard — Forecast · Chec'!W18+'CheckoutGuard — Forecast · Chec'!X10-'CheckoutGuard — Forecast · Chec'!X14</f>
        <v>15.08502889163718</v>
      </c>
      <c r="Y18" s="9">
        <f>'CheckoutGuard — Forecast · Chec'!X18+'CheckoutGuard — Forecast · Chec'!Y10-'CheckoutGuard — Forecast · Chec'!Y14</f>
        <v>16.095108384848928</v>
      </c>
      <c r="Z18" s="9">
        <f>'CheckoutGuard — Forecast · Chec'!Y18+'CheckoutGuard — Forecast · Chec'!Z10-'CheckoutGuard — Forecast · Chec'!Z14</f>
        <v>17.148017011262365</v>
      </c>
    </row>
    <row r="19" outlineLevel="1">
      <c r="A19" t="inlineStr" s="20">
        <is>
          <t xml:space="preserve">Developer</t>
        </is>
      </c>
      <c r="B19" s="9">
        <f>0</f>
        <v>0</v>
      </c>
      <c r="C19" s="9">
        <f>'CheckoutGuard — Forecast · Chec'!B19+'CheckoutGuard — Forecast · Chec'!C11-'CheckoutGuard — Forecast · Chec'!C15</f>
        <v>2</v>
      </c>
      <c r="D19" s="9">
        <f>'CheckoutGuard — Forecast · Chec'!C19+'CheckoutGuard — Forecast · Chec'!D11-'CheckoutGuard — Forecast · Chec'!D15</f>
        <v>4.04</v>
      </c>
      <c r="E19" s="9">
        <f>'CheckoutGuard — Forecast · Chec'!D19+'CheckoutGuard — Forecast · Chec'!E11-'CheckoutGuard — Forecast · Chec'!E15</f>
        <v>6.1238</v>
      </c>
      <c r="F19" s="9">
        <f>'CheckoutGuard — Forecast · Chec'!E19+'CheckoutGuard — Forecast · Chec'!F11-'CheckoutGuard — Forecast · Chec'!F15</f>
        <v>8.255336</v>
      </c>
      <c r="G19" s="9">
        <f>'CheckoutGuard — Forecast · Chec'!F19+'CheckoutGuard — Forecast · Chec'!G11-'CheckoutGuard — Forecast · Chec'!G15</f>
        <v>10.438688420000002</v>
      </c>
      <c r="H19" s="9">
        <f>'CheckoutGuard — Forecast · Chec'!G19+'CheckoutGuard — Forecast · Chec'!H11-'CheckoutGuard — Forecast · Chec'!H15</f>
        <v>12.678090892400002</v>
      </c>
      <c r="I19" s="9">
        <f>'CheckoutGuard — Forecast · Chec'!H19+'CheckoutGuard — Forecast · Chec'!I11-'CheckoutGuard — Forecast · Chec'!I15</f>
        <v>14.977939446878004</v>
      </c>
      <c r="J19" s="9">
        <f>'CheckoutGuard — Forecast · Chec'!I19+'CheckoutGuard — Forecast · Chec'!J11-'CheckoutGuard — Forecast · Chec'!J15</f>
        <v>17.342802108784166</v>
      </c>
      <c r="K19" s="9">
        <f>'CheckoutGuard — Forecast · Chec'!J19+'CheckoutGuard — Forecast · Chec'!K11-'CheckoutGuard — Forecast · Chec'!K15</f>
        <v>19.77742893309877</v>
      </c>
      <c r="L19" s="9">
        <f>'CheckoutGuard — Forecast · Chec'!K19+'CheckoutGuard — Forecast · Chec'!L11-'CheckoutGuard — Forecast · Chec'!L15</f>
        <v>22.28676249706284</v>
      </c>
      <c r="M19" s="9">
        <f>'CheckoutGuard — Forecast · Chec'!L19+'CheckoutGuard — Forecast · Chec'!M11-'CheckoutGuard — Forecast · Chec'!M15</f>
        <v>24.875948875705838</v>
      </c>
      <c r="N19" s="9">
        <f>'CheckoutGuard — Forecast · Chec'!M19+'CheckoutGuard — Forecast · Chec'!N11-'CheckoutGuard — Forecast · Chec'!N15</f>
        <v>27.550349125667292</v>
      </c>
      <c r="O19" s="9">
        <f>'CheckoutGuard — Forecast · Chec'!N19+'CheckoutGuard — Forecast · Chec'!O11-'CheckoutGuard — Forecast · Chec'!O15</f>
        <v>30.315551303941536</v>
      </c>
      <c r="P19" s="9">
        <f>'CheckoutGuard — Forecast · Chec'!O19+'CheckoutGuard — Forecast · Chec'!P11-'CheckoutGuard — Forecast · Chec'!P15</f>
        <v>33.17738304946976</v>
      </c>
      <c r="Q19" s="9">
        <f>'CheckoutGuard — Forecast · Chec'!P19+'CheckoutGuard — Forecast · Chec'!Q11-'CheckoutGuard — Forecast · Chec'!Q15</f>
        <v>36.14192475686447</v>
      </c>
      <c r="R19" s="9">
        <f>'CheckoutGuard — Forecast · Chec'!Q19+'CheckoutGuard — Forecast · Chec'!R11-'CheckoutGuard — Forecast · Chec'!R15</f>
        <v>39.215523372981274</v>
      </c>
      <c r="S19" s="9">
        <f>'CheckoutGuard — Forecast · Chec'!R19+'CheckoutGuard — Forecast · Chec'!S11-'CheckoutGuard — Forecast · Chec'!S15</f>
        <v>42.404806848555715</v>
      </c>
      <c r="T19" s="9">
        <f>'CheckoutGuard — Forecast · Chec'!S19+'CheckoutGuard — Forecast · Chec'!T11-'CheckoutGuard — Forecast · Chec'!T15</f>
        <v>45.716699278701114</v>
      </c>
      <c r="U19" s="9">
        <f>'CheckoutGuard — Forecast · Chec'!T19+'CheckoutGuard — Forecast · Chec'!U11-'CheckoutGuard — Forecast · Chec'!U15</f>
        <v>49.15843676772225</v>
      </c>
      <c r="V19" s="9">
        <f>'CheckoutGuard — Forecast · Chec'!U19+'CheckoutGuard — Forecast · Chec'!V11-'CheckoutGuard — Forecast · Chec'!V15</f>
        <v>52.737584055441864</v>
      </c>
      <c r="W19" s="9">
        <f>'CheckoutGuard — Forecast · Chec'!V19+'CheckoutGuard — Forecast · Chec'!W11-'CheckoutGuard — Forecast · Chec'!W15</f>
        <v>56.462051944067454</v>
      </c>
      <c r="X19" s="9">
        <f>'CheckoutGuard — Forecast · Chec'!W19+'CheckoutGuard — Forecast · Chec'!X11-'CheckoutGuard — Forecast · Chec'!X15</f>
        <v>60.34011556654872</v>
      </c>
      <c r="Y19" s="9">
        <f>'CheckoutGuard — Forecast · Chec'!X19+'CheckoutGuard — Forecast · Chec'!Y11-'CheckoutGuard — Forecast · Chec'!Y15</f>
        <v>64.38043353939571</v>
      </c>
      <c r="Z19" s="9">
        <f>'CheckoutGuard — Forecast · Chec'!Y19+'CheckoutGuard — Forecast · Chec'!Z11-'CheckoutGuard — Forecast · Chec'!Z15</f>
        <v>68.59206804504946</v>
      </c>
    </row>
    <row r="20" outlineLevel="1">
      <c r="A20" t="inlineStr" s="20">
        <is>
          <t xml:space="preserve">Team</t>
        </is>
      </c>
      <c r="B20" s="9">
        <f>0</f>
        <v>0</v>
      </c>
      <c r="C20" s="9">
        <f>'CheckoutGuard — Forecast · Chec'!B20+'CheckoutGuard — Forecast · Chec'!C12-'CheckoutGuard — Forecast · Chec'!C16</f>
        <v>2</v>
      </c>
      <c r="D20" s="9">
        <f>'CheckoutGuard — Forecast · Chec'!C20+'CheckoutGuard — Forecast · Chec'!D12-'CheckoutGuard — Forecast · Chec'!D16</f>
        <v>4.04</v>
      </c>
      <c r="E20" s="9">
        <f>'CheckoutGuard — Forecast · Chec'!D20+'CheckoutGuard — Forecast · Chec'!E12-'CheckoutGuard — Forecast · Chec'!E16</f>
        <v>6.1238</v>
      </c>
      <c r="F20" s="9">
        <f>'CheckoutGuard — Forecast · Chec'!E20+'CheckoutGuard — Forecast · Chec'!F12-'CheckoutGuard — Forecast · Chec'!F16</f>
        <v>8.255336</v>
      </c>
      <c r="G20" s="9">
        <f>'CheckoutGuard — Forecast · Chec'!F20+'CheckoutGuard — Forecast · Chec'!G12-'CheckoutGuard — Forecast · Chec'!G16</f>
        <v>10.438688420000002</v>
      </c>
      <c r="H20" s="9">
        <f>'CheckoutGuard — Forecast · Chec'!G20+'CheckoutGuard — Forecast · Chec'!H12-'CheckoutGuard — Forecast · Chec'!H16</f>
        <v>12.678090892400002</v>
      </c>
      <c r="I20" s="9">
        <f>'CheckoutGuard — Forecast · Chec'!H20+'CheckoutGuard — Forecast · Chec'!I12-'CheckoutGuard — Forecast · Chec'!I16</f>
        <v>14.977939446878004</v>
      </c>
      <c r="J20" s="9">
        <f>'CheckoutGuard — Forecast · Chec'!I20+'CheckoutGuard — Forecast · Chec'!J12-'CheckoutGuard — Forecast · Chec'!J16</f>
        <v>17.342802108784166</v>
      </c>
      <c r="K20" s="9">
        <f>'CheckoutGuard — Forecast · Chec'!J20+'CheckoutGuard — Forecast · Chec'!K12-'CheckoutGuard — Forecast · Chec'!K16</f>
        <v>19.77742893309877</v>
      </c>
      <c r="L20" s="9">
        <f>'CheckoutGuard — Forecast · Chec'!K20+'CheckoutGuard — Forecast · Chec'!L12-'CheckoutGuard — Forecast · Chec'!L16</f>
        <v>22.28676249706284</v>
      </c>
      <c r="M20" s="9">
        <f>'CheckoutGuard — Forecast · Chec'!L20+'CheckoutGuard — Forecast · Chec'!M12-'CheckoutGuard — Forecast · Chec'!M16</f>
        <v>24.875948875705838</v>
      </c>
      <c r="N20" s="9">
        <f>'CheckoutGuard — Forecast · Chec'!M20+'CheckoutGuard — Forecast · Chec'!N12-'CheckoutGuard — Forecast · Chec'!N16</f>
        <v>27.550349125667292</v>
      </c>
      <c r="O20" s="9">
        <f>'CheckoutGuard — Forecast · Chec'!N20+'CheckoutGuard — Forecast · Chec'!O12-'CheckoutGuard — Forecast · Chec'!O16</f>
        <v>30.315551303941536</v>
      </c>
      <c r="P20" s="9">
        <f>'CheckoutGuard — Forecast · Chec'!O20+'CheckoutGuard — Forecast · Chec'!P12-'CheckoutGuard — Forecast · Chec'!P16</f>
        <v>33.17738304946976</v>
      </c>
      <c r="Q20" s="9">
        <f>'CheckoutGuard — Forecast · Chec'!P20+'CheckoutGuard — Forecast · Chec'!Q12-'CheckoutGuard — Forecast · Chec'!Q16</f>
        <v>36.14192475686447</v>
      </c>
      <c r="R20" s="9">
        <f>'CheckoutGuard — Forecast · Chec'!Q20+'CheckoutGuard — Forecast · Chec'!R12-'CheckoutGuard — Forecast · Chec'!R16</f>
        <v>39.215523372981274</v>
      </c>
      <c r="S20" s="9">
        <f>'CheckoutGuard — Forecast · Chec'!R20+'CheckoutGuard — Forecast · Chec'!S12-'CheckoutGuard — Forecast · Chec'!S16</f>
        <v>42.404806848555715</v>
      </c>
      <c r="T20" s="9">
        <f>'CheckoutGuard — Forecast · Chec'!S20+'CheckoutGuard — Forecast · Chec'!T12-'CheckoutGuard — Forecast · Chec'!T16</f>
        <v>45.716699278701114</v>
      </c>
      <c r="U20" s="9">
        <f>'CheckoutGuard — Forecast · Chec'!T20+'CheckoutGuard — Forecast · Chec'!U12-'CheckoutGuard — Forecast · Chec'!U16</f>
        <v>49.15843676772225</v>
      </c>
      <c r="V20" s="9">
        <f>'CheckoutGuard — Forecast · Chec'!U20+'CheckoutGuard — Forecast · Chec'!V12-'CheckoutGuard — Forecast · Chec'!V16</f>
        <v>52.737584055441864</v>
      </c>
      <c r="W20" s="9">
        <f>'CheckoutGuard — Forecast · Chec'!V20+'CheckoutGuard — Forecast · Chec'!W12-'CheckoutGuard — Forecast · Chec'!W16</f>
        <v>56.462051944067454</v>
      </c>
      <c r="X20" s="9">
        <f>'CheckoutGuard — Forecast · Chec'!W20+'CheckoutGuard — Forecast · Chec'!X12-'CheckoutGuard — Forecast · Chec'!X16</f>
        <v>60.34011556654872</v>
      </c>
      <c r="Y20" s="9">
        <f>'CheckoutGuard — Forecast · Chec'!X20+'CheckoutGuard — Forecast · Chec'!Y12-'CheckoutGuard — Forecast · Chec'!Y16</f>
        <v>64.38043353939571</v>
      </c>
      <c r="Z20" s="9">
        <f>'CheckoutGuard — Forecast · Chec'!Y20+'CheckoutGuard — Forecast · Chec'!Z12-'CheckoutGuard — Forecast · Chec'!Z16</f>
        <v>68.59206804504946</v>
      </c>
    </row>
    <row r="21">
      <c r="A21" t="inlineStr" s="5">
        <is>
          <t xml:space="preserve">Subscription revenue</t>
        </is>
      </c>
      <c r="B21" s="11">
        <f>SUM('CheckoutGuard — Forecast · Chec'!B22,'CheckoutGuard — Forecast · Chec'!B23,'CheckoutGuard — Forecast · Chec'!B24)</f>
        <v>0</v>
      </c>
      <c r="C21" s="11">
        <f>SUM('CheckoutGuard — Forecast · Chec'!C22,'CheckoutGuard — Forecast · Chec'!C23,'CheckoutGuard — Forecast · Chec'!C24)</f>
        <v>405.5</v>
      </c>
      <c r="D21" s="11">
        <f>SUM('CheckoutGuard — Forecast · Chec'!D22,'CheckoutGuard — Forecast · Chec'!D23,'CheckoutGuard — Forecast · Chec'!D24)</f>
        <v>819.11</v>
      </c>
      <c r="E21" s="11">
        <f>SUM('CheckoutGuard — Forecast · Chec'!E22,'CheckoutGuard — Forecast · Chec'!E23,'CheckoutGuard — Forecast · Chec'!E24)</f>
        <v>1241.60045</v>
      </c>
      <c r="F21" s="11">
        <f>SUM('CheckoutGuard — Forecast · Chec'!F22,'CheckoutGuard — Forecast · Chec'!F23,'CheckoutGuard — Forecast · Chec'!F24)</f>
        <v>1673.769374</v>
      </c>
      <c r="G21" s="11">
        <f>SUM('CheckoutGuard — Forecast · Chec'!G22,'CheckoutGuard — Forecast · Chec'!G23,'CheckoutGuard — Forecast · Chec'!G24)</f>
        <v>2116.4440771550007</v>
      </c>
      <c r="H21" s="11">
        <f>SUM('CheckoutGuard — Forecast · Chec'!H22,'CheckoutGuard — Forecast · Chec'!H23,'CheckoutGuard — Forecast · Chec'!H24)</f>
        <v>2570.4829284341004</v>
      </c>
      <c r="I21" s="11">
        <f>SUM('CheckoutGuard — Forecast · Chec'!I22,'CheckoutGuard — Forecast · Chec'!I23,'CheckoutGuard — Forecast · Chec'!I24)</f>
        <v>3036.7772228545155</v>
      </c>
      <c r="J21" s="11">
        <f>SUM('CheckoutGuard — Forecast · Chec'!J22,'CheckoutGuard — Forecast · Chec'!J23,'CheckoutGuard — Forecast · Chec'!J24)</f>
        <v>3516.2531275559895</v>
      </c>
      <c r="K21" s="11">
        <f>SUM('CheckoutGuard — Forecast · Chec'!K22,'CheckoutGuard — Forecast · Chec'!K23,'CheckoutGuard — Forecast · Chec'!K24)</f>
        <v>4009.8737161857753</v>
      </c>
      <c r="L21" s="11">
        <f>SUM('CheckoutGuard — Forecast · Chec'!L22,'CheckoutGuard — Forecast · Chec'!L23,'CheckoutGuard — Forecast · Chec'!L24)</f>
        <v>4518.641096279491</v>
      </c>
      <c r="M21" s="11">
        <f>SUM('CheckoutGuard — Forecast · Chec'!M22,'CheckoutGuard — Forecast · Chec'!M23,'CheckoutGuard — Forecast · Chec'!M24)</f>
        <v>5043.598634549358</v>
      </c>
      <c r="N21" s="11">
        <f>SUM('CheckoutGuard — Forecast · Chec'!N22,'CheckoutGuard — Forecast · Chec'!N23,'CheckoutGuard — Forecast · Chec'!N24)</f>
        <v>5585.833285229044</v>
      </c>
      <c r="O21" s="11">
        <f>SUM('CheckoutGuard — Forecast · Chec'!O22,'CheckoutGuard — Forecast · Chec'!O23,'CheckoutGuard — Forecast · Chec'!O24)</f>
        <v>6146.478026874147</v>
      </c>
      <c r="P21" s="11">
        <f>SUM('CheckoutGuard — Forecast · Chec'!P22,'CheckoutGuard — Forecast · Chec'!P23,'CheckoutGuard — Forecast · Chec'!P24)</f>
        <v>6726.714413279994</v>
      </c>
      <c r="Q21" s="11">
        <f>SUM('CheckoutGuard — Forecast · Chec'!Q22,'CheckoutGuard — Forecast · Chec'!Q23,'CheckoutGuard — Forecast · Chec'!Q24)</f>
        <v>7327.775244454271</v>
      </c>
      <c r="R21" s="11">
        <f>SUM('CheckoutGuard — Forecast · Chec'!R22,'CheckoutGuard — Forecast · Chec'!R23,'CheckoutGuard — Forecast · Chec'!R24)</f>
        <v>7950.947363871954</v>
      </c>
      <c r="S21" s="11">
        <f>SUM('CheckoutGuard — Forecast · Chec'!S22,'CheckoutGuard — Forecast · Chec'!S23,'CheckoutGuard — Forecast · Chec'!S24)</f>
        <v>8597.57458854467</v>
      </c>
      <c r="T21" s="11">
        <f>SUM('CheckoutGuard — Forecast · Chec'!T22,'CheckoutGuard — Forecast · Chec'!T23,'CheckoutGuard — Forecast · Chec'!T24)</f>
        <v>9269.060778756651</v>
      </c>
      <c r="U21" s="11">
        <f>SUM('CheckoutGuard — Forecast · Chec'!U22,'CheckoutGuard — Forecast · Chec'!U23,'CheckoutGuard — Forecast · Chec'!U24)</f>
        <v>9966.873054655687</v>
      </c>
      <c r="V21" s="11">
        <f>SUM('CheckoutGuard — Forecast · Chec'!V22,'CheckoutGuard — Forecast · Chec'!V23,'CheckoutGuard — Forecast · Chec'!V24)</f>
        <v>10692.545167240838</v>
      </c>
      <c r="W21" s="11">
        <f>SUM('CheckoutGuard — Forecast · Chec'!W22,'CheckoutGuard — Forecast · Chec'!W23,'CheckoutGuard — Forecast · Chec'!W24)</f>
        <v>11447.681031659677</v>
      </c>
      <c r="X21" s="11">
        <f>SUM('CheckoutGuard — Forecast · Chec'!X22,'CheckoutGuard — Forecast · Chec'!X23,'CheckoutGuard — Forecast · Chec'!X24)</f>
        <v>12233.958431117753</v>
      </c>
      <c r="Y21" s="11">
        <f>SUM('CheckoutGuard — Forecast · Chec'!Y22,'CheckoutGuard — Forecast · Chec'!Y23,'CheckoutGuard — Forecast · Chec'!Y24)</f>
        <v>13053.13290011248</v>
      </c>
      <c r="Z21" s="11">
        <f>SUM('CheckoutGuard — Forecast · Chec'!Z22,'CheckoutGuard — Forecast · Chec'!Z23,'CheckoutGuard — Forecast · Chec'!Z24)</f>
        <v>13907.041796133777</v>
      </c>
    </row>
    <row r="22" outlineLevel="1">
      <c r="A22" t="inlineStr" s="20">
        <is>
          <t xml:space="preserve">Agency</t>
        </is>
      </c>
      <c r="B22" s="14">
        <f>'CheckoutGuard — Forecast · Chec'!B18*'CheckoutGuard — Business pl (2)'!B5</f>
        <v>0</v>
      </c>
      <c r="C22" s="14">
        <f>'CheckoutGuard — Forecast · Chec'!C18*'CheckoutGuard — Business pl (2)'!B5</f>
        <v>149.5</v>
      </c>
      <c r="D22" s="14">
        <f>'CheckoutGuard — Forecast · Chec'!D18*'CheckoutGuard — Business pl (2)'!B5</f>
        <v>301.99</v>
      </c>
      <c r="E22" s="14">
        <f>'CheckoutGuard — Forecast · Chec'!E18*'CheckoutGuard — Business pl (2)'!B5</f>
        <v>457.75405</v>
      </c>
      <c r="F22" s="14">
        <f>'CheckoutGuard — Forecast · Chec'!F18*'CheckoutGuard — Business pl (2)'!B5</f>
        <v>617.086366</v>
      </c>
      <c r="G22" s="14">
        <f>'CheckoutGuard — Forecast · Chec'!G18*'CheckoutGuard — Business pl (2)'!B5</f>
        <v>780.2919593950002</v>
      </c>
      <c r="H22" s="14">
        <f>'CheckoutGuard — Forecast · Chec'!H18*'CheckoutGuard — Business pl (2)'!B5</f>
        <v>947.6872942069001</v>
      </c>
      <c r="I22" s="14">
        <f>'CheckoutGuard — Forecast · Chec'!I18*'CheckoutGuard — Business pl (2)'!B5</f>
        <v>1119.6009736541307</v>
      </c>
      <c r="J22" s="14">
        <f>'CheckoutGuard — Forecast · Chec'!J18*'CheckoutGuard — Business pl (2)'!B5</f>
        <v>1296.3744576316165</v>
      </c>
      <c r="K22" s="14">
        <f>'CheckoutGuard — Forecast · Chec'!K18*'CheckoutGuard — Business pl (2)'!B5</f>
        <v>1478.362812749133</v>
      </c>
      <c r="L22" s="14">
        <f>'CheckoutGuard — Forecast · Chec'!L18*'CheckoutGuard — Business pl (2)'!B5</f>
        <v>1665.9354966554472</v>
      </c>
      <c r="M22" s="14">
        <f>'CheckoutGuard — Forecast · Chec'!M18*'CheckoutGuard — Business pl (2)'!B5</f>
        <v>1859.4771784590114</v>
      </c>
      <c r="N22" s="14">
        <f>'CheckoutGuard — Forecast · Chec'!N18*'CheckoutGuard — Business pl (2)'!B5</f>
        <v>2059.3885971436302</v>
      </c>
      <c r="O22" s="14">
        <f>'CheckoutGuard — Forecast · Chec'!O18*'CheckoutGuard — Business pl (2)'!B5</f>
        <v>2266.08745996963</v>
      </c>
      <c r="P22" s="14">
        <f>'CheckoutGuard — Forecast · Chec'!P18*'CheckoutGuard — Business pl (2)'!B5</f>
        <v>2480.0093829478647</v>
      </c>
      <c r="Q22" s="14">
        <f>'CheckoutGuard — Forecast · Chec'!Q18*'CheckoutGuard — Business pl (2)'!B5</f>
        <v>2701.608875575619</v>
      </c>
      <c r="R22" s="14">
        <f>'CheckoutGuard — Forecast · Chec'!R18*'CheckoutGuard — Business pl (2)'!B5</f>
        <v>2931.3603721303502</v>
      </c>
      <c r="S22" s="14">
        <f>'CheckoutGuard — Forecast · Chec'!S18*'CheckoutGuard — Business pl (2)'!B5</f>
        <v>3169.7593119295398</v>
      </c>
      <c r="T22" s="14">
        <f>'CheckoutGuard — Forecast · Chec'!T18*'CheckoutGuard — Business pl (2)'!B5</f>
        <v>3417.3232710829084</v>
      </c>
      <c r="U22" s="14">
        <f>'CheckoutGuard — Forecast · Chec'!U18*'CheckoutGuard — Business pl (2)'!B5</f>
        <v>3674.593148387238</v>
      </c>
      <c r="V22" s="14">
        <f>'CheckoutGuard — Forecast · Chec'!V18*'CheckoutGuard — Business pl (2)'!B5</f>
        <v>3942.1344081442794</v>
      </c>
      <c r="W22" s="14">
        <f>'CheckoutGuard — Forecast · Chec'!W18*'CheckoutGuard — Business pl (2)'!B5</f>
        <v>4220.538382819042</v>
      </c>
      <c r="X22" s="14">
        <f>'CheckoutGuard — Forecast · Chec'!X18*'CheckoutGuard — Business pl (2)'!B5</f>
        <v>4510.423638599516</v>
      </c>
      <c r="Y22" s="14">
        <f>'CheckoutGuard — Forecast · Chec'!Y18*'CheckoutGuard — Business pl (2)'!B5</f>
        <v>4812.4374070698295</v>
      </c>
      <c r="Z22" s="14">
        <f>'CheckoutGuard — Forecast · Chec'!Z18*'CheckoutGuard — Business pl (2)'!B5</f>
        <v>5127.257086367447</v>
      </c>
    </row>
    <row r="23" outlineLevel="1">
      <c r="A23" t="inlineStr" s="20">
        <is>
          <t xml:space="preserve">Developer</t>
        </is>
      </c>
      <c r="B23" s="14">
        <f>'CheckoutGuard — Forecast · Chec'!B19*'CheckoutGuard — Business pl (2)'!B6</f>
        <v>0</v>
      </c>
      <c r="C23" s="14">
        <f>'CheckoutGuard — Forecast · Chec'!C19*'CheckoutGuard — Business pl (2)'!B6</f>
        <v>58</v>
      </c>
      <c r="D23" s="14">
        <f>'CheckoutGuard — Forecast · Chec'!D19*'CheckoutGuard — Business pl (2)'!B6</f>
        <v>117.16</v>
      </c>
      <c r="E23" s="14">
        <f>'CheckoutGuard — Forecast · Chec'!E19*'CheckoutGuard — Business pl (2)'!B6</f>
        <v>177.5902</v>
      </c>
      <c r="F23" s="14">
        <f>'CheckoutGuard — Forecast · Chec'!F19*'CheckoutGuard — Business pl (2)'!B6</f>
        <v>239.404744</v>
      </c>
      <c r="G23" s="14">
        <f>'CheckoutGuard — Forecast · Chec'!G19*'CheckoutGuard — Business pl (2)'!B6</f>
        <v>302.72196418000004</v>
      </c>
      <c r="H23" s="14">
        <f>'CheckoutGuard — Forecast · Chec'!H19*'CheckoutGuard — Business pl (2)'!B6</f>
        <v>367.66463587960004</v>
      </c>
      <c r="I23" s="14">
        <f>'CheckoutGuard — Forecast · Chec'!I19*'CheckoutGuard — Business pl (2)'!B6</f>
        <v>434.36024395946214</v>
      </c>
      <c r="J23" s="14">
        <f>'CheckoutGuard — Forecast · Chec'!J19*'CheckoutGuard — Business pl (2)'!B6</f>
        <v>502.9412611547408</v>
      </c>
      <c r="K23" s="14">
        <f>'CheckoutGuard — Forecast · Chec'!K19*'CheckoutGuard — Business pl (2)'!B6</f>
        <v>573.5454390598643</v>
      </c>
      <c r="L23" s="14">
        <f>'CheckoutGuard — Forecast · Chec'!L19*'CheckoutGuard — Business pl (2)'!B6</f>
        <v>646.3161124148223</v>
      </c>
      <c r="M23" s="14">
        <f>'CheckoutGuard — Forecast · Chec'!M19*'CheckoutGuard — Business pl (2)'!B6</f>
        <v>721.4025173954693</v>
      </c>
      <c r="N23" s="14">
        <f>'CheckoutGuard — Forecast · Chec'!N19*'CheckoutGuard — Business pl (2)'!B6</f>
        <v>798.9601246443515</v>
      </c>
      <c r="O23" s="14">
        <f>'CheckoutGuard — Forecast · Chec'!O19*'CheckoutGuard — Business pl (2)'!B6</f>
        <v>879.1509878143046</v>
      </c>
      <c r="P23" s="14">
        <f>'CheckoutGuard — Forecast · Chec'!P19*'CheckoutGuard — Business pl (2)'!B6</f>
        <v>962.144108434623</v>
      </c>
      <c r="Q23" s="14">
        <f>'CheckoutGuard — Forecast · Chec'!Q19*'CheckoutGuard — Business pl (2)'!B6</f>
        <v>1048.1158179490697</v>
      </c>
      <c r="R23" s="14">
        <f>'CheckoutGuard — Forecast · Chec'!R19*'CheckoutGuard — Business pl (2)'!B6</f>
        <v>1137.250177816457</v>
      </c>
      <c r="S23" s="14">
        <f>'CheckoutGuard — Forecast · Chec'!S19*'CheckoutGuard — Business pl (2)'!B6</f>
        <v>1229.7393986081158</v>
      </c>
      <c r="T23" s="14">
        <f>'CheckoutGuard — Forecast · Chec'!T19*'CheckoutGuard — Business pl (2)'!B6</f>
        <v>1325.7842790823322</v>
      </c>
      <c r="U23" s="14">
        <f>'CheckoutGuard — Forecast · Chec'!U19*'CheckoutGuard — Business pl (2)'!B6</f>
        <v>1425.5946662639453</v>
      </c>
      <c r="V23" s="14">
        <f>'CheckoutGuard — Forecast · Chec'!V19*'CheckoutGuard — Business pl (2)'!B6</f>
        <v>1529.389937607814</v>
      </c>
      <c r="W23" s="14">
        <f>'CheckoutGuard — Forecast · Chec'!W19*'CheckoutGuard — Business pl (2)'!B6</f>
        <v>1637.3995063779562</v>
      </c>
      <c r="X23" s="14">
        <f>'CheckoutGuard — Forecast · Chec'!X19*'CheckoutGuard — Business pl (2)'!B6</f>
        <v>1749.8633514299129</v>
      </c>
      <c r="Y23" s="14">
        <f>'CheckoutGuard — Forecast · Chec'!Y19*'CheckoutGuard — Business pl (2)'!B6</f>
        <v>1867.0325726424755</v>
      </c>
      <c r="Z23" s="14">
        <f>'CheckoutGuard — Forecast · Chec'!Z19*'CheckoutGuard — Business pl (2)'!B6</f>
        <v>1989.1699733064343</v>
      </c>
    </row>
    <row r="24" outlineLevel="1">
      <c r="A24" t="inlineStr" s="20">
        <is>
          <t xml:space="preserve">Team</t>
        </is>
      </c>
      <c r="B24" s="14">
        <f>'CheckoutGuard — Forecast · Chec'!B20*'CheckoutGuard — Business pl (2)'!B7</f>
        <v>0</v>
      </c>
      <c r="C24" s="14">
        <f>'CheckoutGuard — Forecast · Chec'!C20*'CheckoutGuard — Business pl (2)'!B7</f>
        <v>198</v>
      </c>
      <c r="D24" s="14">
        <f>'CheckoutGuard — Forecast · Chec'!D20*'CheckoutGuard — Business pl (2)'!B7</f>
        <v>399.96</v>
      </c>
      <c r="E24" s="14">
        <f>'CheckoutGuard — Forecast · Chec'!E20*'CheckoutGuard — Business pl (2)'!B7</f>
        <v>606.2562</v>
      </c>
      <c r="F24" s="14">
        <f>'CheckoutGuard — Forecast · Chec'!F20*'CheckoutGuard — Business pl (2)'!B7</f>
        <v>817.278264</v>
      </c>
      <c r="G24" s="14">
        <f>'CheckoutGuard — Forecast · Chec'!G20*'CheckoutGuard — Business pl (2)'!B7</f>
        <v>1033.4301535800003</v>
      </c>
      <c r="H24" s="14">
        <f>'CheckoutGuard — Forecast · Chec'!H20*'CheckoutGuard — Business pl (2)'!B7</f>
        <v>1255.1309983476</v>
      </c>
      <c r="I24" s="14">
        <f>'CheckoutGuard — Forecast · Chec'!I20*'CheckoutGuard — Business pl (2)'!B7</f>
        <v>1482.8160052409223</v>
      </c>
      <c r="J24" s="14">
        <f>'CheckoutGuard — Forecast · Chec'!J20*'CheckoutGuard — Business pl (2)'!B7</f>
        <v>1716.9374087696324</v>
      </c>
      <c r="K24" s="14">
        <f>'CheckoutGuard — Forecast · Chec'!K20*'CheckoutGuard — Business pl (2)'!B7</f>
        <v>1957.965464376778</v>
      </c>
      <c r="L24" s="14">
        <f>'CheckoutGuard — Forecast · Chec'!L20*'CheckoutGuard — Business pl (2)'!B7</f>
        <v>2206.389487209221</v>
      </c>
      <c r="M24" s="14">
        <f>'CheckoutGuard — Forecast · Chec'!M20*'CheckoutGuard — Business pl (2)'!B7</f>
        <v>2462.718938694878</v>
      </c>
      <c r="N24" s="14">
        <f>'CheckoutGuard — Forecast · Chec'!N20*'CheckoutGuard — Business pl (2)'!B7</f>
        <v>2727.484563441062</v>
      </c>
      <c r="O24" s="14">
        <f>'CheckoutGuard — Forecast · Chec'!O20*'CheckoutGuard — Business pl (2)'!B7</f>
        <v>3001.239579090212</v>
      </c>
      <c r="P24" s="14">
        <f>'CheckoutGuard — Forecast · Chec'!P20*'CheckoutGuard — Business pl (2)'!B7</f>
        <v>3284.5609218975064</v>
      </c>
      <c r="Q24" s="14">
        <f>'CheckoutGuard — Forecast · Chec'!Q20*'CheckoutGuard — Business pl (2)'!B7</f>
        <v>3578.0505509295826</v>
      </c>
      <c r="R24" s="14">
        <f>'CheckoutGuard — Forecast · Chec'!R20*'CheckoutGuard — Business pl (2)'!B7</f>
        <v>3882.336813925146</v>
      </c>
      <c r="S24" s="14">
        <f>'CheckoutGuard — Forecast · Chec'!S20*'CheckoutGuard — Business pl (2)'!B7</f>
        <v>4198.0758780070155</v>
      </c>
      <c r="T24" s="14">
        <f>'CheckoutGuard — Forecast · Chec'!T20*'CheckoutGuard — Business pl (2)'!B7</f>
        <v>4525.95322859141</v>
      </c>
      <c r="U24" s="14">
        <f>'CheckoutGuard — Forecast · Chec'!U20*'CheckoutGuard — Business pl (2)'!B7</f>
        <v>4866.685240004503</v>
      </c>
      <c r="V24" s="14">
        <f>'CheckoutGuard — Forecast · Chec'!V20*'CheckoutGuard — Business pl (2)'!B7</f>
        <v>5221.020821488744</v>
      </c>
      <c r="W24" s="14">
        <f>'CheckoutGuard — Forecast · Chec'!W20*'CheckoutGuard — Business pl (2)'!B7</f>
        <v>5589.743142462678</v>
      </c>
      <c r="X24" s="14">
        <f>'CheckoutGuard — Forecast · Chec'!X20*'CheckoutGuard — Business pl (2)'!B7</f>
        <v>5973.671441088323</v>
      </c>
      <c r="Y24" s="14">
        <f>'CheckoutGuard — Forecast · Chec'!Y20*'CheckoutGuard — Business pl (2)'!B7</f>
        <v>6373.662920400176</v>
      </c>
      <c r="Z24" s="14">
        <f>'CheckoutGuard — Forecast · Chec'!Z20*'CheckoutGuard — Business pl (2)'!B7</f>
        <v>6790.614736459896</v>
      </c>
    </row>
    <row r="25">
      <c r="A25" t="inlineStr" s="5">
        <is>
          <t xml:space="preserve">Completed runs</t>
        </is>
      </c>
      <c r="B25" s="6">
        <f>SUM('CheckoutGuard — Forecast · Chec'!B26,'CheckoutGuard — Forecast · Chec'!B27,'CheckoutGuard — Forecast · Chec'!B28)</f>
        <v>0</v>
      </c>
      <c r="C25" s="6">
        <f>SUM('CheckoutGuard — Forecast · Chec'!C26,'CheckoutGuard — Forecast · Chec'!C27,'CheckoutGuard — Forecast · Chec'!C28)</f>
        <v>1100</v>
      </c>
      <c r="D25" s="6">
        <f>SUM('CheckoutGuard — Forecast · Chec'!D26,'CheckoutGuard — Forecast · Chec'!D27,'CheckoutGuard — Forecast · Chec'!D28)</f>
        <v>2222</v>
      </c>
      <c r="E25" s="6">
        <f>SUM('CheckoutGuard — Forecast · Chec'!E26,'CheckoutGuard — Forecast · Chec'!E27,'CheckoutGuard — Forecast · Chec'!E28)</f>
        <v>3368.09</v>
      </c>
      <c r="F25" s="6">
        <f>SUM('CheckoutGuard — Forecast · Chec'!F26,'CheckoutGuard — Forecast · Chec'!F27,'CheckoutGuard — Forecast · Chec'!F28)</f>
        <v>4540.434799999999</v>
      </c>
      <c r="G25" s="6">
        <f>SUM('CheckoutGuard — Forecast · Chec'!G26,'CheckoutGuard — Forecast · Chec'!G27,'CheckoutGuard — Forecast · Chec'!G28)</f>
        <v>5741.278631000001</v>
      </c>
      <c r="H25" s="6">
        <f>SUM('CheckoutGuard — Forecast · Chec'!H26,'CheckoutGuard — Forecast · Chec'!H27,'CheckoutGuard — Forecast · Chec'!H28)</f>
        <v>6972.949990820001</v>
      </c>
      <c r="I25" s="6">
        <f>SUM('CheckoutGuard — Forecast · Chec'!I26,'CheckoutGuard — Forecast · Chec'!I27,'CheckoutGuard — Forecast · Chec'!I28)</f>
        <v>8237.866695782903</v>
      </c>
      <c r="J25" s="6">
        <f>SUM('CheckoutGuard — Forecast · Chec'!J26,'CheckoutGuard — Forecast · Chec'!J27,'CheckoutGuard — Forecast · Chec'!J28)</f>
        <v>9538.541159831291</v>
      </c>
      <c r="K25" s="6">
        <f>SUM('CheckoutGuard — Forecast · Chec'!K26,'CheckoutGuard — Forecast · Chec'!K27,'CheckoutGuard — Forecast · Chec'!K28)</f>
        <v>10877.585913204322</v>
      </c>
      <c r="L25" s="6">
        <f>SUM('CheckoutGuard — Forecast · Chec'!L26,'CheckoutGuard — Forecast · Chec'!L27,'CheckoutGuard — Forecast · Chec'!L28)</f>
        <v>12257.719373384562</v>
      </c>
      <c r="M25" s="6">
        <f>SUM('CheckoutGuard — Forecast · Chec'!M26,'CheckoutGuard — Forecast · Chec'!M27,'CheckoutGuard — Forecast · Chec'!M28)</f>
        <v>13681.771881638211</v>
      </c>
      <c r="N25" s="6">
        <f>SUM('CheckoutGuard — Forecast · Chec'!N26,'CheckoutGuard — Forecast · Chec'!N27,'CheckoutGuard — Forecast · Chec'!N28)</f>
        <v>15152.69201911701</v>
      </c>
      <c r="O25" s="6">
        <f>SUM('CheckoutGuard — Forecast · Chec'!O26,'CheckoutGuard — Forecast · Chec'!O27,'CheckoutGuard — Forecast · Chec'!O28)</f>
        <v>16673.553217167842</v>
      </c>
      <c r="P25" s="6">
        <f>SUM('CheckoutGuard — Forecast · Chec'!P26,'CheckoutGuard — Forecast · Chec'!P27,'CheckoutGuard — Forecast · Chec'!P28)</f>
        <v>18247.56067720837</v>
      </c>
      <c r="Q25" s="6">
        <f>SUM('CheckoutGuard — Forecast · Chec'!Q26,'CheckoutGuard — Forecast · Chec'!Q27,'CheckoutGuard — Forecast · Chec'!Q28)</f>
        <v>19878.05861627546</v>
      </c>
      <c r="R25" s="6">
        <f>SUM('CheckoutGuard — Forecast · Chec'!R26,'CheckoutGuard — Forecast · Chec'!R27,'CheckoutGuard — Forecast · Chec'!R28)</f>
        <v>21568.5378551397</v>
      </c>
      <c r="S25" s="6">
        <f>SUM('CheckoutGuard — Forecast · Chec'!S26,'CheckoutGuard — Forecast · Chec'!S27,'CheckoutGuard — Forecast · Chec'!S28)</f>
        <v>23322.643766705645</v>
      </c>
      <c r="T25" s="6">
        <f>SUM('CheckoutGuard — Forecast · Chec'!T26,'CheckoutGuard — Forecast · Chec'!T27,'CheckoutGuard — Forecast · Chec'!T28)</f>
        <v>25144.184603285612</v>
      </c>
      <c r="U25" s="6">
        <f>SUM('CheckoutGuard — Forecast · Chec'!U26,'CheckoutGuard — Forecast · Chec'!U27,'CheckoutGuard — Forecast · Chec'!U28)</f>
        <v>27037.140222247235</v>
      </c>
      <c r="V25" s="6">
        <f>SUM('CheckoutGuard — Forecast · Chec'!V26,'CheckoutGuard — Forecast · Chec'!V27,'CheckoutGuard — Forecast · Chec'!V28)</f>
        <v>29005.671230493026</v>
      </c>
      <c r="W25" s="6">
        <f>SUM('CheckoutGuard — Forecast · Chec'!W26,'CheckoutGuard — Forecast · Chec'!W27,'CheckoutGuard — Forecast · Chec'!W28)</f>
        <v>31054.128569237102</v>
      </c>
      <c r="X25" s="6">
        <f>SUM('CheckoutGuard — Forecast · Chec'!X26,'CheckoutGuard — Forecast · Chec'!X27,'CheckoutGuard — Forecast · Chec'!X28)</f>
        <v>33187.0635616018</v>
      </c>
      <c r="Y25" s="6">
        <f>SUM('CheckoutGuard — Forecast · Chec'!Y26,'CheckoutGuard — Forecast · Chec'!Y27,'CheckoutGuard — Forecast · Chec'!Y28)</f>
        <v>35409.23844666764</v>
      </c>
      <c r="Z25" s="6">
        <f>SUM('CheckoutGuard — Forecast · Chec'!Z26,'CheckoutGuard — Forecast · Chec'!Z27,'CheckoutGuard — Forecast · Chec'!Z28)</f>
        <v>37725.637424777204</v>
      </c>
    </row>
    <row r="26" outlineLevel="1">
      <c r="A26" t="inlineStr" s="20">
        <is>
          <t xml:space="preserve">Agency</t>
        </is>
      </c>
      <c r="B26" s="9">
        <f>'CheckoutGuard — Forecast · Chec'!B18*'CheckoutGuard — Business pl (2)'!C5*'CheckoutGuard — Assumptions · C'!B17</f>
        <v>0</v>
      </c>
      <c r="C26" s="9">
        <f>'CheckoutGuard — Forecast · Chec'!C18*'CheckoutGuard — Business pl (2)'!C5*'CheckoutGuard — Assumptions · C'!B17</f>
        <v>500</v>
      </c>
      <c r="D26" s="9">
        <f>'CheckoutGuard — Forecast · Chec'!D18*'CheckoutGuard — Business pl (2)'!C5*'CheckoutGuard — Assumptions · C'!B17</f>
        <v>1010</v>
      </c>
      <c r="E26" s="9">
        <f>'CheckoutGuard — Forecast · Chec'!E18*'CheckoutGuard — Business pl (2)'!C5*'CheckoutGuard — Assumptions · C'!B17</f>
        <v>1530.95</v>
      </c>
      <c r="F26" s="9">
        <f>'CheckoutGuard — Forecast · Chec'!F18*'CheckoutGuard — Business pl (2)'!C5*'CheckoutGuard — Assumptions · C'!B17</f>
        <v>2063.834</v>
      </c>
      <c r="G26" s="9">
        <f>'CheckoutGuard — Forecast · Chec'!G18*'CheckoutGuard — Business pl (2)'!C5*'CheckoutGuard — Assumptions · C'!B17</f>
        <v>2609.6721050000006</v>
      </c>
      <c r="H26" s="9">
        <f>'CheckoutGuard — Forecast · Chec'!H18*'CheckoutGuard — Business pl (2)'!C5*'CheckoutGuard — Assumptions · C'!B17</f>
        <v>3169.5227231000003</v>
      </c>
      <c r="I26" s="9">
        <f>'CheckoutGuard — Forecast · Chec'!I18*'CheckoutGuard — Business pl (2)'!C5*'CheckoutGuard — Assumptions · C'!B17</f>
        <v>3744.484861719501</v>
      </c>
      <c r="J26" s="9">
        <f>'CheckoutGuard — Forecast · Chec'!J18*'CheckoutGuard — Business pl (2)'!C5*'CheckoutGuard — Assumptions · C'!B17</f>
        <v>4335.700527196042</v>
      </c>
      <c r="K26" s="9">
        <f>'CheckoutGuard — Forecast · Chec'!K18*'CheckoutGuard — Business pl (2)'!C5*'CheckoutGuard — Assumptions · C'!B17</f>
        <v>4944.357233274692</v>
      </c>
      <c r="L26" s="9">
        <f>'CheckoutGuard — Forecast · Chec'!L18*'CheckoutGuard — Business pl (2)'!C5*'CheckoutGuard — Assumptions · C'!B17</f>
        <v>5571.69062426571</v>
      </c>
      <c r="M26" s="9">
        <f>'CheckoutGuard — Forecast · Chec'!M18*'CheckoutGuard — Business pl (2)'!C5*'CheckoutGuard — Assumptions · C'!B17</f>
        <v>6218.98721892646</v>
      </c>
      <c r="N26" s="9">
        <f>'CheckoutGuard — Forecast · Chec'!N18*'CheckoutGuard — Business pl (2)'!C5*'CheckoutGuard — Assumptions · C'!B17</f>
        <v>6887.587281416823</v>
      </c>
      <c r="O26" s="9">
        <f>'CheckoutGuard — Forecast · Chec'!O18*'CheckoutGuard — Business pl (2)'!C5*'CheckoutGuard — Assumptions · C'!B17</f>
        <v>7578.887825985384</v>
      </c>
      <c r="P26" s="9">
        <f>'CheckoutGuard — Forecast · Chec'!P18*'CheckoutGuard — Business pl (2)'!C5*'CheckoutGuard — Assumptions · C'!B17</f>
        <v>8294.34576236744</v>
      </c>
      <c r="Q26" s="9">
        <f>'CheckoutGuard — Forecast · Chec'!Q18*'CheckoutGuard — Business pl (2)'!C5*'CheckoutGuard — Assumptions · C'!B17</f>
        <v>9035.481189216118</v>
      </c>
      <c r="R26" s="9">
        <f>'CheckoutGuard — Forecast · Chec'!R18*'CheckoutGuard — Business pl (2)'!C5*'CheckoutGuard — Assumptions · C'!B17</f>
        <v>9803.880843245319</v>
      </c>
      <c r="S26" s="9">
        <f>'CheckoutGuard — Forecast · Chec'!S18*'CheckoutGuard — Business pl (2)'!C5*'CheckoutGuard — Assumptions · C'!B17</f>
        <v>10601.201712138929</v>
      </c>
      <c r="T26" s="9">
        <f>'CheckoutGuard — Forecast · Chec'!T18*'CheckoutGuard — Business pl (2)'!C5*'CheckoutGuard — Assumptions · C'!B17</f>
        <v>11429.174819675278</v>
      </c>
      <c r="U26" s="9">
        <f>'CheckoutGuard — Forecast · Chec'!U18*'CheckoutGuard — Business pl (2)'!C5*'CheckoutGuard — Assumptions · C'!B17</f>
        <v>12289.609191930562</v>
      </c>
      <c r="V26" s="9">
        <f>'CheckoutGuard — Forecast · Chec'!V18*'CheckoutGuard — Business pl (2)'!C5*'CheckoutGuard — Assumptions · C'!B17</f>
        <v>13184.396013860465</v>
      </c>
      <c r="W26" s="9">
        <f>'CheckoutGuard — Forecast · Chec'!W18*'CheckoutGuard — Business pl (2)'!C5*'CheckoutGuard — Assumptions · C'!B17</f>
        <v>14115.512986016864</v>
      </c>
      <c r="X26" s="9">
        <f>'CheckoutGuard — Forecast · Chec'!X18*'CheckoutGuard — Business pl (2)'!C5*'CheckoutGuard — Assumptions · C'!B17</f>
        <v>15085.02889163718</v>
      </c>
      <c r="Y26" s="9">
        <f>'CheckoutGuard — Forecast · Chec'!Y18*'CheckoutGuard — Business pl (2)'!C5*'CheckoutGuard — Assumptions · C'!B17</f>
        <v>16095.108384848927</v>
      </c>
      <c r="Z26" s="9">
        <f>'CheckoutGuard — Forecast · Chec'!Z18*'CheckoutGuard — Business pl (2)'!C5*'CheckoutGuard — Assumptions · C'!B17</f>
        <v>17148.017011262364</v>
      </c>
    </row>
    <row r="27" outlineLevel="1">
      <c r="A27" t="inlineStr" s="20">
        <is>
          <t xml:space="preserve">Developer</t>
        </is>
      </c>
      <c r="B27" s="9">
        <f>'CheckoutGuard — Forecast · Chec'!B19*'CheckoutGuard — Business pl (2)'!C6*'CheckoutGuard — Assumptions · C'!B17</f>
        <v>0</v>
      </c>
      <c r="C27" s="9">
        <f>'CheckoutGuard — Forecast · Chec'!C19*'CheckoutGuard — Business pl (2)'!C6*'CheckoutGuard — Assumptions · C'!B17</f>
        <v>100</v>
      </c>
      <c r="D27" s="9">
        <f>'CheckoutGuard — Forecast · Chec'!D19*'CheckoutGuard — Business pl (2)'!C6*'CheckoutGuard — Assumptions · C'!B17</f>
        <v>202</v>
      </c>
      <c r="E27" s="9">
        <f>'CheckoutGuard — Forecast · Chec'!E19*'CheckoutGuard — Business pl (2)'!C6*'CheckoutGuard — Assumptions · C'!B17</f>
        <v>306.19</v>
      </c>
      <c r="F27" s="9">
        <f>'CheckoutGuard — Forecast · Chec'!F19*'CheckoutGuard — Business pl (2)'!C6*'CheckoutGuard — Assumptions · C'!B17</f>
        <v>412.7668</v>
      </c>
      <c r="G27" s="9">
        <f>'CheckoutGuard — Forecast · Chec'!G19*'CheckoutGuard — Business pl (2)'!C6*'CheckoutGuard — Assumptions · C'!B17</f>
        <v>521.934421</v>
      </c>
      <c r="H27" s="9">
        <f>'CheckoutGuard — Forecast · Chec'!H19*'CheckoutGuard — Business pl (2)'!C6*'CheckoutGuard — Assumptions · C'!B17</f>
        <v>633.9045446200001</v>
      </c>
      <c r="I27" s="9">
        <f>'CheckoutGuard — Forecast · Chec'!I19*'CheckoutGuard — Business pl (2)'!C6*'CheckoutGuard — Assumptions · C'!B17</f>
        <v>748.8969723439002</v>
      </c>
      <c r="J27" s="9">
        <f>'CheckoutGuard — Forecast · Chec'!J19*'CheckoutGuard — Business pl (2)'!C6*'CheckoutGuard — Assumptions · C'!B17</f>
        <v>867.1401054392084</v>
      </c>
      <c r="K27" s="9">
        <f>'CheckoutGuard — Forecast · Chec'!K19*'CheckoutGuard — Business pl (2)'!C6*'CheckoutGuard — Assumptions · C'!B17</f>
        <v>988.8714466549384</v>
      </c>
      <c r="L27" s="9">
        <f>'CheckoutGuard — Forecast · Chec'!L19*'CheckoutGuard — Business pl (2)'!C6*'CheckoutGuard — Assumptions · C'!B17</f>
        <v>1114.3381248531418</v>
      </c>
      <c r="M27" s="9">
        <f>'CheckoutGuard — Forecast · Chec'!M19*'CheckoutGuard — Business pl (2)'!C6*'CheckoutGuard — Assumptions · C'!B17</f>
        <v>1243.797443785292</v>
      </c>
      <c r="N27" s="9">
        <f>'CheckoutGuard — Forecast · Chec'!N19*'CheckoutGuard — Business pl (2)'!C6*'CheckoutGuard — Assumptions · C'!B17</f>
        <v>1377.5174562833647</v>
      </c>
      <c r="O27" s="9">
        <f>'CheckoutGuard — Forecast · Chec'!O19*'CheckoutGuard — Business pl (2)'!C6*'CheckoutGuard — Assumptions · C'!B17</f>
        <v>1515.777565197077</v>
      </c>
      <c r="P27" s="9">
        <f>'CheckoutGuard — Forecast · Chec'!P19*'CheckoutGuard — Business pl (2)'!C6*'CheckoutGuard — Assumptions · C'!B17</f>
        <v>1658.869152473488</v>
      </c>
      <c r="Q27" s="9">
        <f>'CheckoutGuard — Forecast · Chec'!Q19*'CheckoutGuard — Business pl (2)'!C6*'CheckoutGuard — Assumptions · C'!B17</f>
        <v>1807.0962378432234</v>
      </c>
      <c r="R27" s="9">
        <f>'CheckoutGuard — Forecast · Chec'!R19*'CheckoutGuard — Business pl (2)'!C6*'CheckoutGuard — Assumptions · C'!B17</f>
        <v>1960.7761686490637</v>
      </c>
      <c r="S27" s="9">
        <f>'CheckoutGuard — Forecast · Chec'!S19*'CheckoutGuard — Business pl (2)'!C6*'CheckoutGuard — Assumptions · C'!B17</f>
        <v>2120.240342427786</v>
      </c>
      <c r="T27" s="9">
        <f>'CheckoutGuard — Forecast · Chec'!T19*'CheckoutGuard — Business pl (2)'!C6*'CheckoutGuard — Assumptions · C'!B17</f>
        <v>2285.834963935056</v>
      </c>
      <c r="U27" s="9">
        <f>'CheckoutGuard — Forecast · Chec'!U19*'CheckoutGuard — Business pl (2)'!C6*'CheckoutGuard — Assumptions · C'!B17</f>
        <v>2457.9218383861125</v>
      </c>
      <c r="V27" s="9">
        <f>'CheckoutGuard — Forecast · Chec'!V19*'CheckoutGuard — Business pl (2)'!C6*'CheckoutGuard — Assumptions · C'!B17</f>
        <v>2636.8792027720933</v>
      </c>
      <c r="W27" s="9">
        <f>'CheckoutGuard — Forecast · Chec'!W19*'CheckoutGuard — Business pl (2)'!C6*'CheckoutGuard — Assumptions · C'!B17</f>
        <v>2823.1025972033726</v>
      </c>
      <c r="X27" s="9">
        <f>'CheckoutGuard — Forecast · Chec'!X19*'CheckoutGuard — Business pl (2)'!C6*'CheckoutGuard — Assumptions · C'!B17</f>
        <v>3017.005778327436</v>
      </c>
      <c r="Y27" s="9">
        <f>'CheckoutGuard — Forecast · Chec'!Y19*'CheckoutGuard — Business pl (2)'!C6*'CheckoutGuard — Assumptions · C'!B17</f>
        <v>3219.0216769697854</v>
      </c>
      <c r="Z27" s="9">
        <f>'CheckoutGuard — Forecast · Chec'!Z19*'CheckoutGuard — Business pl (2)'!C6*'CheckoutGuard — Assumptions · C'!B17</f>
        <v>3429.6034022524727</v>
      </c>
    </row>
    <row r="28" outlineLevel="1">
      <c r="A28" t="inlineStr" s="20">
        <is>
          <t xml:space="preserve">Team</t>
        </is>
      </c>
      <c r="B28" s="9">
        <f>'CheckoutGuard — Forecast · Chec'!B20*'CheckoutGuard — Business pl (2)'!C7*'CheckoutGuard — Assumptions · C'!B17</f>
        <v>0</v>
      </c>
      <c r="C28" s="9">
        <f>'CheckoutGuard — Forecast · Chec'!C20*'CheckoutGuard — Business pl (2)'!C7*'CheckoutGuard — Assumptions · C'!B17</f>
        <v>500</v>
      </c>
      <c r="D28" s="9">
        <f>'CheckoutGuard — Forecast · Chec'!D20*'CheckoutGuard — Business pl (2)'!C7*'CheckoutGuard — Assumptions · C'!B17</f>
        <v>1010</v>
      </c>
      <c r="E28" s="9">
        <f>'CheckoutGuard — Forecast · Chec'!E20*'CheckoutGuard — Business pl (2)'!C7*'CheckoutGuard — Assumptions · C'!B17</f>
        <v>1530.95</v>
      </c>
      <c r="F28" s="9">
        <f>'CheckoutGuard — Forecast · Chec'!F20*'CheckoutGuard — Business pl (2)'!C7*'CheckoutGuard — Assumptions · C'!B17</f>
        <v>2063.834</v>
      </c>
      <c r="G28" s="9">
        <f>'CheckoutGuard — Forecast · Chec'!G20*'CheckoutGuard — Business pl (2)'!C7*'CheckoutGuard — Assumptions · C'!B17</f>
        <v>2609.6721050000006</v>
      </c>
      <c r="H28" s="9">
        <f>'CheckoutGuard — Forecast · Chec'!H20*'CheckoutGuard — Business pl (2)'!C7*'CheckoutGuard — Assumptions · C'!B17</f>
        <v>3169.5227231000003</v>
      </c>
      <c r="I28" s="9">
        <f>'CheckoutGuard — Forecast · Chec'!I20*'CheckoutGuard — Business pl (2)'!C7*'CheckoutGuard — Assumptions · C'!B17</f>
        <v>3744.484861719501</v>
      </c>
      <c r="J28" s="9">
        <f>'CheckoutGuard — Forecast · Chec'!J20*'CheckoutGuard — Business pl (2)'!C7*'CheckoutGuard — Assumptions · C'!B17</f>
        <v>4335.700527196042</v>
      </c>
      <c r="K28" s="9">
        <f>'CheckoutGuard — Forecast · Chec'!K20*'CheckoutGuard — Business pl (2)'!C7*'CheckoutGuard — Assumptions · C'!B17</f>
        <v>4944.357233274692</v>
      </c>
      <c r="L28" s="9">
        <f>'CheckoutGuard — Forecast · Chec'!L20*'CheckoutGuard — Business pl (2)'!C7*'CheckoutGuard — Assumptions · C'!B17</f>
        <v>5571.69062426571</v>
      </c>
      <c r="M28" s="9">
        <f>'CheckoutGuard — Forecast · Chec'!M20*'CheckoutGuard — Business pl (2)'!C7*'CheckoutGuard — Assumptions · C'!B17</f>
        <v>6218.98721892646</v>
      </c>
      <c r="N28" s="9">
        <f>'CheckoutGuard — Forecast · Chec'!N20*'CheckoutGuard — Business pl (2)'!C7*'CheckoutGuard — Assumptions · C'!B17</f>
        <v>6887.587281416823</v>
      </c>
      <c r="O28" s="9">
        <f>'CheckoutGuard — Forecast · Chec'!O20*'CheckoutGuard — Business pl (2)'!C7*'CheckoutGuard — Assumptions · C'!B17</f>
        <v>7578.887825985384</v>
      </c>
      <c r="P28" s="9">
        <f>'CheckoutGuard — Forecast · Chec'!P20*'CheckoutGuard — Business pl (2)'!C7*'CheckoutGuard — Assumptions · C'!B17</f>
        <v>8294.34576236744</v>
      </c>
      <c r="Q28" s="9">
        <f>'CheckoutGuard — Forecast · Chec'!Q20*'CheckoutGuard — Business pl (2)'!C7*'CheckoutGuard — Assumptions · C'!B17</f>
        <v>9035.481189216118</v>
      </c>
      <c r="R28" s="9">
        <f>'CheckoutGuard — Forecast · Chec'!R20*'CheckoutGuard — Business pl (2)'!C7*'CheckoutGuard — Assumptions · C'!B17</f>
        <v>9803.880843245319</v>
      </c>
      <c r="S28" s="9">
        <f>'CheckoutGuard — Forecast · Chec'!S20*'CheckoutGuard — Business pl (2)'!C7*'CheckoutGuard — Assumptions · C'!B17</f>
        <v>10601.201712138929</v>
      </c>
      <c r="T28" s="9">
        <f>'CheckoutGuard — Forecast · Chec'!T20*'CheckoutGuard — Business pl (2)'!C7*'CheckoutGuard — Assumptions · C'!B17</f>
        <v>11429.174819675278</v>
      </c>
      <c r="U28" s="9">
        <f>'CheckoutGuard — Forecast · Chec'!U20*'CheckoutGuard — Business pl (2)'!C7*'CheckoutGuard — Assumptions · C'!B17</f>
        <v>12289.609191930562</v>
      </c>
      <c r="V28" s="9">
        <f>'CheckoutGuard — Forecast · Chec'!V20*'CheckoutGuard — Business pl (2)'!C7*'CheckoutGuard — Assumptions · C'!B17</f>
        <v>13184.396013860465</v>
      </c>
      <c r="W28" s="9">
        <f>'CheckoutGuard — Forecast · Chec'!W20*'CheckoutGuard — Business pl (2)'!C7*'CheckoutGuard — Assumptions · C'!B17</f>
        <v>14115.512986016864</v>
      </c>
      <c r="X28" s="9">
        <f>'CheckoutGuard — Forecast · Chec'!X20*'CheckoutGuard — Business pl (2)'!C7*'CheckoutGuard — Assumptions · C'!B17</f>
        <v>15085.02889163718</v>
      </c>
      <c r="Y28" s="9">
        <f>'CheckoutGuard — Forecast · Chec'!Y20*'CheckoutGuard — Business pl (2)'!C7*'CheckoutGuard — Assumptions · C'!B17</f>
        <v>16095.108384848927</v>
      </c>
      <c r="Z28" s="9">
        <f>'CheckoutGuard — Forecast · Chec'!Z20*'CheckoutGuard — Business pl (2)'!C7*'CheckoutGuard — Assumptions · C'!B17</f>
        <v>17148.017011262364</v>
      </c>
    </row>
    <row r="29">
      <c r="A29" t="inlineStr" s="5">
        <is>
          <t xml:space="preserve">Run delivery costs</t>
        </is>
      </c>
      <c r="B29" s="11">
        <f>SUM('CheckoutGuard — Forecast · Chec'!B30,'CheckoutGuard — Forecast · Chec'!B31,'CheckoutGuard — Forecast · Chec'!B32)</f>
        <v>0</v>
      </c>
      <c r="C29" s="11">
        <f>SUM('CheckoutGuard — Forecast · Chec'!C30,'CheckoutGuard — Forecast · Chec'!C31,'CheckoutGuard — Forecast · Chec'!C32)</f>
        <v>20.99416</v>
      </c>
      <c r="D29" s="11">
        <f>SUM('CheckoutGuard — Forecast · Chec'!D30,'CheckoutGuard — Forecast · Chec'!D31,'CheckoutGuard — Forecast · Chec'!D32)</f>
        <v>42.4082032</v>
      </c>
      <c r="E29" s="11">
        <f>SUM('CheckoutGuard — Forecast · Chec'!E30,'CheckoutGuard — Forecast · Chec'!E31,'CheckoutGuard — Forecast · Chec'!E32)</f>
        <v>64.282018504</v>
      </c>
      <c r="F29" s="11">
        <f>SUM('CheckoutGuard — Forecast · Chec'!F30,'CheckoutGuard — Forecast · Chec'!F31,'CheckoutGuard — Forecast · Chec'!F32)</f>
        <v>86.65692241887999</v>
      </c>
      <c r="G29" s="11">
        <f>SUM('CheckoutGuard — Forecast · Chec'!G30,'CheckoutGuard — Forecast · Chec'!G31,'CheckoutGuard — Forecast · Chec'!G32)</f>
        <v>109.57574743981363</v>
      </c>
      <c r="H29" s="11">
        <f>SUM('CheckoutGuard — Forecast · Chec'!H30,'CheckoutGuard — Forecast · Chec'!H31,'CheckoutGuard — Forecast · Chec'!H32)</f>
        <v>133.0829343447942</v>
      </c>
      <c r="I29" s="11">
        <f>SUM('CheckoutGuard — Forecast · Chec'!I30,'CheckoutGuard — Forecast · Chec'!I31,'CheckoutGuard — Forecast · Chec'!I32)</f>
        <v>157.22462860903417</v>
      </c>
      <c r="J29" s="11">
        <f>SUM('CheckoutGuard — Forecast · Chec'!J30,'CheckoutGuard — Forecast · Chec'!J31,'CheckoutGuard — Forecast · Chec'!J32)</f>
        <v>182.0487811600761</v>
      </c>
      <c r="K29" s="11">
        <f>SUM('CheckoutGuard — Forecast · Chec'!K30,'CheckoutGuard — Forecast · Chec'!K31,'CheckoutGuard — Forecast · Chec'!K32)</f>
        <v>207.6052537050524</v>
      </c>
      <c r="L29" s="11">
        <f>SUM('CheckoutGuard — Forecast · Chec'!L30,'CheckoutGuard — Forecast · Chec'!L31,'CheckoutGuard — Forecast · Chec'!L32)</f>
        <v>233.9459288726684</v>
      </c>
      <c r="M29" s="11">
        <f>SUM('CheckoutGuard — Forecast · Chec'!M30,'CheckoutGuard — Forecast · Chec'!M31,'CheckoutGuard — Forecast · Chec'!M32)</f>
        <v>261.1248254241943</v>
      </c>
      <c r="N29" s="11">
        <f>SUM('CheckoutGuard — Forecast · Chec'!N30,'CheckoutGuard — Forecast · Chec'!N31,'CheckoutGuard — Forecast · Chec'!N32)</f>
        <v>289.19821880005964</v>
      </c>
      <c r="O29" s="11">
        <f>SUM('CheckoutGuard — Forecast · Chec'!O30,'CheckoutGuard — Forecast · Chec'!O31,'CheckoutGuard — Forecast · Chec'!O32)</f>
        <v>318.2247672815786</v>
      </c>
      <c r="P29" s="11">
        <f>SUM('CheckoutGuard — Forecast · Chec'!P30,'CheckoutGuard — Forecast · Chec'!P31,'CheckoutGuard — Forecast · Chec'!P32)</f>
        <v>348.265644060928</v>
      </c>
      <c r="Q29" s="11">
        <f>SUM('CheckoutGuard — Forecast · Chec'!Q30,'CheckoutGuard — Forecast · Chec'!Q31,'CheckoutGuard — Forecast · Chec'!Q32)</f>
        <v>379.38467552678696</v>
      </c>
      <c r="R29" s="11">
        <f>SUM('CheckoutGuard — Forecast · Chec'!R30,'CheckoutGuard — Forecast · Chec'!R31,'CheckoutGuard — Forecast · Chec'!R32)</f>
        <v>411.64848608805426</v>
      </c>
      <c r="S29" s="11">
        <f>SUM('CheckoutGuard — Forecast · Chec'!S30,'CheckoutGuard — Forecast · Chec'!S31,'CheckoutGuard — Forecast · Chec'!S32)</f>
        <v>445.1266498738373</v>
      </c>
      <c r="T29" s="11">
        <f>SUM('CheckoutGuard — Forecast · Chec'!T30,'CheckoutGuard — Forecast · Chec'!T31,'CheckoutGuard — Forecast · Chec'!T32)</f>
        <v>479.8918496644679</v>
      </c>
      <c r="U29" s="11">
        <f>SUM('CheckoutGuard — Forecast · Chec'!U30,'CheckoutGuard — Forecast · Chec'!U31,'CheckoutGuard — Forecast · Chec'!U32)</f>
        <v>516.020043425722</v>
      </c>
      <c r="V29" s="11">
        <f>SUM('CheckoutGuard — Forecast · Chec'!V30,'CheckoutGuard — Forecast · Chec'!V31,'CheckoutGuard — Forecast · Chec'!V32)</f>
        <v>553.5906388366977</v>
      </c>
      <c r="W29" s="11">
        <f>SUM('CheckoutGuard — Forecast · Chec'!W30,'CheckoutGuard — Forecast · Chec'!W31,'CheckoutGuard — Forecast · Chec'!W32)</f>
        <v>592.6866762210316</v>
      </c>
      <c r="X29" s="11">
        <f>SUM('CheckoutGuard — Forecast · Chec'!X30,'CheckoutGuard — Forecast · Chec'!X31,'CheckoutGuard — Forecast · Chec'!X32)</f>
        <v>633.3950203113072</v>
      </c>
      <c r="Y29" s="11">
        <f>SUM('CheckoutGuard — Forecast · Chec'!Y30,'CheckoutGuard — Forecast · Chec'!Y31,'CheckoutGuard — Forecast · Chec'!Y32)</f>
        <v>675.8065612977199</v>
      </c>
      <c r="Z29" s="11">
        <f>SUM('CheckoutGuard — Forecast · Chec'!Z30,'CheckoutGuard — Forecast · Chec'!Z31,'CheckoutGuard — Forecast · Chec'!Z32)</f>
        <v>720.0164256343278</v>
      </c>
    </row>
    <row r="30" outlineLevel="1">
      <c r="A30" t="inlineStr" s="20">
        <is>
          <t xml:space="preserve">Agency</t>
        </is>
      </c>
      <c r="B30" s="14">
        <f>'CheckoutGuard — Forecast · Chec'!B26*'CheckoutGuard — Assumptions (2)'!B12</f>
        <v>0</v>
      </c>
      <c r="C30" s="14">
        <f>'CheckoutGuard — Forecast · Chec'!C26*'CheckoutGuard — Assumptions (2)'!B12</f>
        <v>9.5428</v>
      </c>
      <c r="D30" s="14">
        <f>'CheckoutGuard — Forecast · Chec'!D26*'CheckoutGuard — Assumptions (2)'!B12</f>
        <v>19.276456</v>
      </c>
      <c r="E30" s="14">
        <f>'CheckoutGuard — Forecast · Chec'!E26*'CheckoutGuard — Assumptions (2)'!B12</f>
        <v>29.21909932</v>
      </c>
      <c r="F30" s="14">
        <f>'CheckoutGuard — Forecast · Chec'!F26*'CheckoutGuard — Assumptions (2)'!B12</f>
        <v>39.389510190399996</v>
      </c>
      <c r="G30" s="14">
        <f>'CheckoutGuard — Forecast · Chec'!G26*'CheckoutGuard — Assumptions (2)'!B12</f>
        <v>49.807157927188015</v>
      </c>
      <c r="H30" s="14">
        <f>'CheckoutGuard — Forecast · Chec'!H26*'CheckoutGuard — Assumptions (2)'!B12</f>
        <v>60.49224288399737</v>
      </c>
      <c r="I30" s="14">
        <f>'CheckoutGuard — Forecast · Chec'!I26*'CheckoutGuard — Assumptions (2)'!B12</f>
        <v>71.46574027683371</v>
      </c>
      <c r="J30" s="14">
        <f>'CheckoutGuard — Forecast · Chec'!J26*'CheckoutGuard — Assumptions (2)'!B12</f>
        <v>82.74944598185277</v>
      </c>
      <c r="K30" s="14">
        <f>'CheckoutGuard — Forecast · Chec'!K26*'CheckoutGuard — Assumptions (2)'!B12</f>
        <v>94.36602441138746</v>
      </c>
      <c r="L30" s="14">
        <f>'CheckoutGuard — Forecast · Chec'!L26*'CheckoutGuard — Assumptions (2)'!B12</f>
        <v>106.33905857848563</v>
      </c>
      <c r="M30" s="14">
        <f>'CheckoutGuard — Forecast · Chec'!M26*'CheckoutGuard — Assumptions (2)'!B12</f>
        <v>118.69310246554285</v>
      </c>
      <c r="N30" s="14">
        <f>'CheckoutGuard — Forecast · Chec'!N26*'CheckoutGuard — Assumptions (2)'!B12</f>
        <v>131.45373581820894</v>
      </c>
      <c r="O30" s="14">
        <f>'CheckoutGuard — Forecast · Chec'!O26*'CheckoutGuard — Assumptions (2)'!B12</f>
        <v>144.64762149162664</v>
      </c>
      <c r="P30" s="14">
        <f>'CheckoutGuard — Forecast · Chec'!P26*'CheckoutGuard — Assumptions (2)'!B12</f>
        <v>158.30256548224003</v>
      </c>
      <c r="Q30" s="14">
        <f>'CheckoutGuard — Forecast · Chec'!Q26*'CheckoutGuard — Assumptions (2)'!B12</f>
        <v>172.44757978490316</v>
      </c>
      <c r="R30" s="14">
        <f>'CheckoutGuard — Forecast · Chec'!R26*'CheckoutGuard — Assumptions (2)'!B12</f>
        <v>187.11294822184286</v>
      </c>
      <c r="S30" s="14">
        <f>'CheckoutGuard — Forecast · Chec'!S26*'CheckoutGuard — Assumptions (2)'!B12</f>
        <v>202.33029539719877</v>
      </c>
      <c r="T30" s="14">
        <f>'CheckoutGuard — Forecast · Chec'!T26*'CheckoutGuard — Assumptions (2)'!B12</f>
        <v>218.13265893839448</v>
      </c>
      <c r="U30" s="14">
        <f>'CheckoutGuard — Forecast · Chec'!U26*'CheckoutGuard — Assumptions (2)'!B12</f>
        <v>234.55456519350994</v>
      </c>
      <c r="V30" s="14">
        <f>'CheckoutGuard — Forecast · Chec'!V26*'CheckoutGuard — Assumptions (2)'!B12</f>
        <v>251.6321085621353</v>
      </c>
      <c r="W30" s="14">
        <f>'CheckoutGuard — Forecast · Chec'!W26*'CheckoutGuard — Assumptions (2)'!B12</f>
        <v>269.40303464592347</v>
      </c>
      <c r="X30" s="14">
        <f>'CheckoutGuard — Forecast · Chec'!X26*'CheckoutGuard — Assumptions (2)'!B12</f>
        <v>287.9068274142306</v>
      </c>
      <c r="Y30" s="14">
        <f>'CheckoutGuard — Forecast · Chec'!Y26*'CheckoutGuard — Assumptions (2)'!B12</f>
        <v>307.1848005898727</v>
      </c>
      <c r="Z30" s="14">
        <f>'CheckoutGuard — Forecast · Chec'!Z26*'CheckoutGuard — Assumptions (2)'!B12</f>
        <v>327.280193470149</v>
      </c>
    </row>
    <row r="31" outlineLevel="1">
      <c r="A31" t="inlineStr" s="20">
        <is>
          <t xml:space="preserve">Developer</t>
        </is>
      </c>
      <c r="B31" s="14">
        <f>'CheckoutGuard — Forecast · Chec'!B27*'CheckoutGuard — Assumptions (2)'!B12</f>
        <v>0</v>
      </c>
      <c r="C31" s="14">
        <f>'CheckoutGuard — Forecast · Chec'!C27*'CheckoutGuard — Assumptions (2)'!B12</f>
        <v>1.90856</v>
      </c>
      <c r="D31" s="14">
        <f>'CheckoutGuard — Forecast · Chec'!D27*'CheckoutGuard — Assumptions (2)'!B12</f>
        <v>3.8552912000000004</v>
      </c>
      <c r="E31" s="14">
        <f>'CheckoutGuard — Forecast · Chec'!E27*'CheckoutGuard — Assumptions (2)'!B12</f>
        <v>5.843819864</v>
      </c>
      <c r="F31" s="14">
        <f>'CheckoutGuard — Forecast · Chec'!F27*'CheckoutGuard — Assumptions (2)'!B12</f>
        <v>7.87790203808</v>
      </c>
      <c r="G31" s="14">
        <f>'CheckoutGuard — Forecast · Chec'!G27*'CheckoutGuard — Assumptions (2)'!B12</f>
        <v>9.961431585437602</v>
      </c>
      <c r="H31" s="14">
        <f>'CheckoutGuard — Forecast · Chec'!H27*'CheckoutGuard — Assumptions (2)'!B12</f>
        <v>12.098448576799475</v>
      </c>
      <c r="I31" s="14">
        <f>'CheckoutGuard — Forecast · Chec'!I27*'CheckoutGuard — Assumptions (2)'!B12</f>
        <v>14.293148055366743</v>
      </c>
      <c r="J31" s="14">
        <f>'CheckoutGuard — Forecast · Chec'!J27*'CheckoutGuard — Assumptions (2)'!B12</f>
        <v>16.549889196370557</v>
      </c>
      <c r="K31" s="14">
        <f>'CheckoutGuard — Forecast · Chec'!K27*'CheckoutGuard — Assumptions (2)'!B12</f>
        <v>18.87320488227749</v>
      </c>
      <c r="L31" s="14">
        <f>'CheckoutGuard — Forecast · Chec'!L27*'CheckoutGuard — Assumptions (2)'!B12</f>
        <v>21.267811715697125</v>
      </c>
      <c r="M31" s="14">
        <f>'CheckoutGuard — Forecast · Chec'!M27*'CheckoutGuard — Assumptions (2)'!B12</f>
        <v>23.73862049310857</v>
      </c>
      <c r="N31" s="14">
        <f>'CheckoutGuard — Forecast · Chec'!N27*'CheckoutGuard — Assumptions (2)'!B12</f>
        <v>26.290747163641786</v>
      </c>
      <c r="O31" s="14">
        <f>'CheckoutGuard — Forecast · Chec'!O27*'CheckoutGuard — Assumptions (2)'!B12</f>
        <v>28.929524298325333</v>
      </c>
      <c r="P31" s="14">
        <f>'CheckoutGuard — Forecast · Chec'!P27*'CheckoutGuard — Assumptions (2)'!B12</f>
        <v>31.660513096448003</v>
      </c>
      <c r="Q31" s="14">
        <f>'CheckoutGuard — Forecast · Chec'!Q27*'CheckoutGuard — Assumptions (2)'!B12</f>
        <v>34.489515956980625</v>
      </c>
      <c r="R31" s="14">
        <f>'CheckoutGuard — Forecast · Chec'!R27*'CheckoutGuard — Assumptions (2)'!B12</f>
        <v>37.42258964436857</v>
      </c>
      <c r="S31" s="14">
        <f>'CheckoutGuard — Forecast · Chec'!S27*'CheckoutGuard — Assumptions (2)'!B12</f>
        <v>40.46605907943975</v>
      </c>
      <c r="T31" s="14">
        <f>'CheckoutGuard — Forecast · Chec'!T27*'CheckoutGuard — Assumptions (2)'!B12</f>
        <v>43.62653178767891</v>
      </c>
      <c r="U31" s="14">
        <f>'CheckoutGuard — Forecast · Chec'!U27*'CheckoutGuard — Assumptions (2)'!B12</f>
        <v>46.91091303870199</v>
      </c>
      <c r="V31" s="14">
        <f>'CheckoutGuard — Forecast · Chec'!V27*'CheckoutGuard — Assumptions (2)'!B12</f>
        <v>50.32642171242707</v>
      </c>
      <c r="W31" s="14">
        <f>'CheckoutGuard — Forecast · Chec'!W27*'CheckoutGuard — Assumptions (2)'!B12</f>
        <v>53.880606929184694</v>
      </c>
      <c r="X31" s="14">
        <f>'CheckoutGuard — Forecast · Chec'!X27*'CheckoutGuard — Assumptions (2)'!B12</f>
        <v>57.58136548284612</v>
      </c>
      <c r="Y31" s="14">
        <f>'CheckoutGuard — Forecast · Chec'!Y27*'CheckoutGuard — Assumptions (2)'!B12</f>
        <v>61.43696011797454</v>
      </c>
      <c r="Z31" s="14">
        <f>'CheckoutGuard — Forecast · Chec'!Z27*'CheckoutGuard — Assumptions (2)'!B12</f>
        <v>65.4560386940298</v>
      </c>
    </row>
    <row r="32" outlineLevel="1">
      <c r="A32" t="inlineStr" s="20">
        <is>
          <t xml:space="preserve">Team</t>
        </is>
      </c>
      <c r="B32" s="14">
        <f>'CheckoutGuard — Forecast · Chec'!B28*'CheckoutGuard — Assumptions (2)'!B12</f>
        <v>0</v>
      </c>
      <c r="C32" s="14">
        <f>'CheckoutGuard — Forecast · Chec'!C28*'CheckoutGuard — Assumptions (2)'!B12</f>
        <v>9.5428</v>
      </c>
      <c r="D32" s="14">
        <f>'CheckoutGuard — Forecast · Chec'!D28*'CheckoutGuard — Assumptions (2)'!B12</f>
        <v>19.276456</v>
      </c>
      <c r="E32" s="14">
        <f>'CheckoutGuard — Forecast · Chec'!E28*'CheckoutGuard — Assumptions (2)'!B12</f>
        <v>29.21909932</v>
      </c>
      <c r="F32" s="14">
        <f>'CheckoutGuard — Forecast · Chec'!F28*'CheckoutGuard — Assumptions (2)'!B12</f>
        <v>39.389510190399996</v>
      </c>
      <c r="G32" s="14">
        <f>'CheckoutGuard — Forecast · Chec'!G28*'CheckoutGuard — Assumptions (2)'!B12</f>
        <v>49.807157927188015</v>
      </c>
      <c r="H32" s="14">
        <f>'CheckoutGuard — Forecast · Chec'!H28*'CheckoutGuard — Assumptions (2)'!B12</f>
        <v>60.49224288399737</v>
      </c>
      <c r="I32" s="14">
        <f>'CheckoutGuard — Forecast · Chec'!I28*'CheckoutGuard — Assumptions (2)'!B12</f>
        <v>71.46574027683371</v>
      </c>
      <c r="J32" s="14">
        <f>'CheckoutGuard — Forecast · Chec'!J28*'CheckoutGuard — Assumptions (2)'!B12</f>
        <v>82.74944598185277</v>
      </c>
      <c r="K32" s="14">
        <f>'CheckoutGuard — Forecast · Chec'!K28*'CheckoutGuard — Assumptions (2)'!B12</f>
        <v>94.36602441138746</v>
      </c>
      <c r="L32" s="14">
        <f>'CheckoutGuard — Forecast · Chec'!L28*'CheckoutGuard — Assumptions (2)'!B12</f>
        <v>106.33905857848563</v>
      </c>
      <c r="M32" s="14">
        <f>'CheckoutGuard — Forecast · Chec'!M28*'CheckoutGuard — Assumptions (2)'!B12</f>
        <v>118.69310246554285</v>
      </c>
      <c r="N32" s="14">
        <f>'CheckoutGuard — Forecast · Chec'!N28*'CheckoutGuard — Assumptions (2)'!B12</f>
        <v>131.45373581820894</v>
      </c>
      <c r="O32" s="14">
        <f>'CheckoutGuard — Forecast · Chec'!O28*'CheckoutGuard — Assumptions (2)'!B12</f>
        <v>144.64762149162664</v>
      </c>
      <c r="P32" s="14">
        <f>'CheckoutGuard — Forecast · Chec'!P28*'CheckoutGuard — Assumptions (2)'!B12</f>
        <v>158.30256548224003</v>
      </c>
      <c r="Q32" s="14">
        <f>'CheckoutGuard — Forecast · Chec'!Q28*'CheckoutGuard — Assumptions (2)'!B12</f>
        <v>172.44757978490316</v>
      </c>
      <c r="R32" s="14">
        <f>'CheckoutGuard — Forecast · Chec'!R28*'CheckoutGuard — Assumptions (2)'!B12</f>
        <v>187.11294822184286</v>
      </c>
      <c r="S32" s="14">
        <f>'CheckoutGuard — Forecast · Chec'!S28*'CheckoutGuard — Assumptions (2)'!B12</f>
        <v>202.33029539719877</v>
      </c>
      <c r="T32" s="14">
        <f>'CheckoutGuard — Forecast · Chec'!T28*'CheckoutGuard — Assumptions (2)'!B12</f>
        <v>218.13265893839448</v>
      </c>
      <c r="U32" s="14">
        <f>'CheckoutGuard — Forecast · Chec'!U28*'CheckoutGuard — Assumptions (2)'!B12</f>
        <v>234.55456519350994</v>
      </c>
      <c r="V32" s="14">
        <f>'CheckoutGuard — Forecast · Chec'!V28*'CheckoutGuard — Assumptions (2)'!B12</f>
        <v>251.6321085621353</v>
      </c>
      <c r="W32" s="14">
        <f>'CheckoutGuard — Forecast · Chec'!W28*'CheckoutGuard — Assumptions (2)'!B12</f>
        <v>269.40303464592347</v>
      </c>
      <c r="X32" s="14">
        <f>'CheckoutGuard — Forecast · Chec'!X28*'CheckoutGuard — Assumptions (2)'!B12</f>
        <v>287.9068274142306</v>
      </c>
      <c r="Y32" s="14">
        <f>'CheckoutGuard — Forecast · Chec'!Y28*'CheckoutGuard — Assumptions (2)'!B12</f>
        <v>307.1848005898727</v>
      </c>
      <c r="Z32" s="14">
        <f>'CheckoutGuard — Forecast · Chec'!Z28*'CheckoutGuard — Assumptions (2)'!B12</f>
        <v>327.280193470149</v>
      </c>
    </row>
    <row r="33">
      <c r="A33" t="inlineStr" s="5">
        <is>
          <t xml:space="preserve">Workspace support costs</t>
        </is>
      </c>
      <c r="B33" s="11">
        <f>SUM('CheckoutGuard — Forecast · Chec'!B34,'CheckoutGuard — Forecast · Chec'!B35,'CheckoutGuard — Forecast · Chec'!B36)</f>
        <v>0</v>
      </c>
      <c r="C33" s="11">
        <f>SUM('CheckoutGuard — Forecast · Chec'!C34,'CheckoutGuard — Forecast · Chec'!C35,'CheckoutGuard — Forecast · Chec'!C36)</f>
        <v>50</v>
      </c>
      <c r="D33" s="11">
        <f>SUM('CheckoutGuard — Forecast · Chec'!D34,'CheckoutGuard — Forecast · Chec'!D35,'CheckoutGuard — Forecast · Chec'!D36)</f>
        <v>101</v>
      </c>
      <c r="E33" s="11">
        <f>SUM('CheckoutGuard — Forecast · Chec'!E34,'CheckoutGuard — Forecast · Chec'!E35,'CheckoutGuard — Forecast · Chec'!E36)</f>
        <v>153.095</v>
      </c>
      <c r="F33" s="11">
        <f>SUM('CheckoutGuard — Forecast · Chec'!F34,'CheckoutGuard — Forecast · Chec'!F35,'CheckoutGuard — Forecast · Chec'!F36)</f>
        <v>206.3834</v>
      </c>
      <c r="G33" s="11">
        <f>SUM('CheckoutGuard — Forecast · Chec'!G34,'CheckoutGuard — Forecast · Chec'!G35,'CheckoutGuard — Forecast · Chec'!G36)</f>
        <v>260.9672105</v>
      </c>
      <c r="H33" s="11">
        <f>SUM('CheckoutGuard — Forecast · Chec'!H34,'CheckoutGuard — Forecast · Chec'!H35,'CheckoutGuard — Forecast · Chec'!H36)</f>
        <v>316.95227231</v>
      </c>
      <c r="I33" s="11">
        <f>SUM('CheckoutGuard — Forecast · Chec'!I34,'CheckoutGuard — Forecast · Chec'!I35,'CheckoutGuard — Forecast · Chec'!I36)</f>
        <v>374.4484861719501</v>
      </c>
      <c r="J33" s="11">
        <f>SUM('CheckoutGuard — Forecast · Chec'!J34,'CheckoutGuard — Forecast · Chec'!J35,'CheckoutGuard — Forecast · Chec'!J36)</f>
        <v>433.5700527196042</v>
      </c>
      <c r="K33" s="11">
        <f>SUM('CheckoutGuard — Forecast · Chec'!K34,'CheckoutGuard — Forecast · Chec'!K35,'CheckoutGuard — Forecast · Chec'!K36)</f>
        <v>494.4357233274692</v>
      </c>
      <c r="L33" s="11">
        <f>SUM('CheckoutGuard — Forecast · Chec'!L34,'CheckoutGuard — Forecast · Chec'!L35,'CheckoutGuard — Forecast · Chec'!L36)</f>
        <v>557.1690624265709</v>
      </c>
      <c r="M33" s="11">
        <f>SUM('CheckoutGuard — Forecast · Chec'!M34,'CheckoutGuard — Forecast · Chec'!M35,'CheckoutGuard — Forecast · Chec'!M36)</f>
        <v>621.898721892646</v>
      </c>
      <c r="N33" s="11">
        <f>SUM('CheckoutGuard — Forecast · Chec'!N34,'CheckoutGuard — Forecast · Chec'!N35,'CheckoutGuard — Forecast · Chec'!N36)</f>
        <v>688.7587281416824</v>
      </c>
      <c r="O33" s="11">
        <f>SUM('CheckoutGuard — Forecast · Chec'!O34,'CheckoutGuard — Forecast · Chec'!O35,'CheckoutGuard — Forecast · Chec'!O36)</f>
        <v>757.8887825985385</v>
      </c>
      <c r="P33" s="11">
        <f>SUM('CheckoutGuard — Forecast · Chec'!P34,'CheckoutGuard — Forecast · Chec'!P35,'CheckoutGuard — Forecast · Chec'!P36)</f>
        <v>829.434576236744</v>
      </c>
      <c r="Q33" s="11">
        <f>SUM('CheckoutGuard — Forecast · Chec'!Q34,'CheckoutGuard — Forecast · Chec'!Q35,'CheckoutGuard — Forecast · Chec'!Q36)</f>
        <v>903.5481189216116</v>
      </c>
      <c r="R33" s="11">
        <f>SUM('CheckoutGuard — Forecast · Chec'!R34,'CheckoutGuard — Forecast · Chec'!R35,'CheckoutGuard — Forecast · Chec'!R36)</f>
        <v>980.3880843245317</v>
      </c>
      <c r="S33" s="11">
        <f>SUM('CheckoutGuard — Forecast · Chec'!S34,'CheckoutGuard — Forecast · Chec'!S35,'CheckoutGuard — Forecast · Chec'!S36)</f>
        <v>1060.120171213893</v>
      </c>
      <c r="T33" s="11">
        <f>SUM('CheckoutGuard — Forecast · Chec'!T34,'CheckoutGuard — Forecast · Chec'!T35,'CheckoutGuard — Forecast · Chec'!T36)</f>
        <v>1142.917481967528</v>
      </c>
      <c r="U33" s="11">
        <f>SUM('CheckoutGuard — Forecast · Chec'!U34,'CheckoutGuard — Forecast · Chec'!U35,'CheckoutGuard — Forecast · Chec'!U36)</f>
        <v>1228.9609191930563</v>
      </c>
      <c r="V33" s="11">
        <f>SUM('CheckoutGuard — Forecast · Chec'!V34,'CheckoutGuard — Forecast · Chec'!V35,'CheckoutGuard — Forecast · Chec'!V36)</f>
        <v>1318.4396013860467</v>
      </c>
      <c r="W33" s="11">
        <f>SUM('CheckoutGuard — Forecast · Chec'!W34,'CheckoutGuard — Forecast · Chec'!W35,'CheckoutGuard — Forecast · Chec'!W36)</f>
        <v>1411.5512986016863</v>
      </c>
      <c r="X33" s="11">
        <f>SUM('CheckoutGuard — Forecast · Chec'!X34,'CheckoutGuard — Forecast · Chec'!X35,'CheckoutGuard — Forecast · Chec'!X36)</f>
        <v>1508.502889163718</v>
      </c>
      <c r="Y33" s="11">
        <f>SUM('CheckoutGuard — Forecast · Chec'!Y34,'CheckoutGuard — Forecast · Chec'!Y35,'CheckoutGuard — Forecast · Chec'!Y36)</f>
        <v>1609.5108384848927</v>
      </c>
      <c r="Z33" s="11">
        <f>SUM('CheckoutGuard — Forecast · Chec'!Z34,'CheckoutGuard — Forecast · Chec'!Z35,'CheckoutGuard — Forecast · Chec'!Z36)</f>
        <v>1714.8017011262364</v>
      </c>
    </row>
    <row r="34" outlineLevel="1">
      <c r="A34" t="inlineStr" s="20">
        <is>
          <t xml:space="preserve">Agency</t>
        </is>
      </c>
      <c r="B34" s="14">
        <f>'CheckoutGuard — Forecast · Chec'!B18*'CheckoutGuard — Assumptions · W'!E5/60*'CheckoutGuard — Assumptions · C'!B16</f>
        <v>0</v>
      </c>
      <c r="C34" s="14">
        <f>'CheckoutGuard — Forecast · Chec'!C18*'CheckoutGuard — Assumptions · W'!E5/60*'CheckoutGuard — Assumptions · C'!B16</f>
        <v>15</v>
      </c>
      <c r="D34" s="14">
        <f>'CheckoutGuard — Forecast · Chec'!D18*'CheckoutGuard — Assumptions · W'!E5/60*'CheckoutGuard — Assumptions · C'!B16</f>
        <v>30.3</v>
      </c>
      <c r="E34" s="14">
        <f>'CheckoutGuard — Forecast · Chec'!E18*'CheckoutGuard — Assumptions · W'!E5/60*'CheckoutGuard — Assumptions · C'!B16</f>
        <v>45.9285</v>
      </c>
      <c r="F34" s="14">
        <f>'CheckoutGuard — Forecast · Chec'!F18*'CheckoutGuard — Assumptions · W'!E5/60*'CheckoutGuard — Assumptions · C'!B16</f>
        <v>61.91502</v>
      </c>
      <c r="G34" s="14">
        <f>'CheckoutGuard — Forecast · Chec'!G18*'CheckoutGuard — Assumptions · W'!E5/60*'CheckoutGuard — Assumptions · C'!B16</f>
        <v>78.29016315000001</v>
      </c>
      <c r="H34" s="14">
        <f>'CheckoutGuard — Forecast · Chec'!H18*'CheckoutGuard — Assumptions · W'!E5/60*'CheckoutGuard — Assumptions · C'!B16</f>
        <v>95.08568169300001</v>
      </c>
      <c r="I34" s="14">
        <f>'CheckoutGuard — Forecast · Chec'!I18*'CheckoutGuard — Assumptions · W'!E5/60*'CheckoutGuard — Assumptions · C'!B16</f>
        <v>112.33454585158503</v>
      </c>
      <c r="J34" s="14">
        <f>'CheckoutGuard — Forecast · Chec'!J18*'CheckoutGuard — Assumptions · W'!E5/60*'CheckoutGuard — Assumptions · C'!B16</f>
        <v>130.07101581588125</v>
      </c>
      <c r="K34" s="14">
        <f>'CheckoutGuard — Forecast · Chec'!K18*'CheckoutGuard — Assumptions · W'!E5/60*'CheckoutGuard — Assumptions · C'!B16</f>
        <v>148.33071699824077</v>
      </c>
      <c r="L34" s="14">
        <f>'CheckoutGuard — Forecast · Chec'!L18*'CheckoutGuard — Assumptions · W'!E5/60*'CheckoutGuard — Assumptions · C'!B16</f>
        <v>167.15071872797128</v>
      </c>
      <c r="M34" s="14">
        <f>'CheckoutGuard — Forecast · Chec'!M18*'CheckoutGuard — Assumptions · W'!E5/60*'CheckoutGuard — Assumptions · C'!B16</f>
        <v>186.5696165677938</v>
      </c>
      <c r="N34" s="14">
        <f>'CheckoutGuard — Forecast · Chec'!N18*'CheckoutGuard — Assumptions · W'!E5/60*'CheckoutGuard — Assumptions · C'!B16</f>
        <v>206.62761844250468</v>
      </c>
      <c r="O34" s="14">
        <f>'CheckoutGuard — Forecast · Chec'!O18*'CheckoutGuard — Assumptions · W'!E5/60*'CheckoutGuard — Assumptions · C'!B16</f>
        <v>227.36663477956148</v>
      </c>
      <c r="P34" s="14">
        <f>'CheckoutGuard — Forecast · Chec'!P18*'CheckoutGuard — Assumptions · W'!E5/60*'CheckoutGuard — Assumptions · C'!B16</f>
        <v>248.8303728710232</v>
      </c>
      <c r="Q34" s="14">
        <f>'CheckoutGuard — Forecast · Chec'!Q18*'CheckoutGuard — Assumptions · W'!E5/60*'CheckoutGuard — Assumptions · C'!B16</f>
        <v>271.0644356764835</v>
      </c>
      <c r="R34" s="14">
        <f>'CheckoutGuard — Forecast · Chec'!R18*'CheckoutGuard — Assumptions · W'!E5/60*'CheckoutGuard — Assumptions · C'!B16</f>
        <v>294.11642529735957</v>
      </c>
      <c r="S34" s="14">
        <f>'CheckoutGuard — Forecast · Chec'!S18*'CheckoutGuard — Assumptions · W'!E5/60*'CheckoutGuard — Assumptions · C'!B16</f>
        <v>318.03605136416786</v>
      </c>
      <c r="T34" s="14">
        <f>'CheckoutGuard — Forecast · Chec'!T18*'CheckoutGuard — Assumptions · W'!E5/60*'CheckoutGuard — Assumptions · C'!B16</f>
        <v>342.8752445902584</v>
      </c>
      <c r="U34" s="14">
        <f>'CheckoutGuard — Forecast · Chec'!U18*'CheckoutGuard — Assumptions · W'!E5/60*'CheckoutGuard — Assumptions · C'!B16</f>
        <v>368.68827575791687</v>
      </c>
      <c r="V34" s="14">
        <f>'CheckoutGuard — Forecast · Chec'!V18*'CheckoutGuard — Assumptions · W'!E5/60*'CheckoutGuard — Assumptions · C'!B16</f>
        <v>395.531880415814</v>
      </c>
      <c r="W34" s="14">
        <f>'CheckoutGuard — Forecast · Chec'!W18*'CheckoutGuard — Assumptions · W'!E5/60*'CheckoutGuard — Assumptions · C'!B16</f>
        <v>423.4653895805059</v>
      </c>
      <c r="X34" s="14">
        <f>'CheckoutGuard — Forecast · Chec'!X18*'CheckoutGuard — Assumptions · W'!E5/60*'CheckoutGuard — Assumptions · C'!B16</f>
        <v>452.55086674911536</v>
      </c>
      <c r="Y34" s="14">
        <f>'CheckoutGuard — Forecast · Chec'!Y18*'CheckoutGuard — Assumptions · W'!E5/60*'CheckoutGuard — Assumptions · C'!B16</f>
        <v>482.85325154546786</v>
      </c>
      <c r="Z34" s="14">
        <f>'CheckoutGuard — Forecast · Chec'!Z18*'CheckoutGuard — Assumptions · W'!E5/60*'CheckoutGuard — Assumptions · C'!B16</f>
        <v>514.4405103378709</v>
      </c>
    </row>
    <row r="35" outlineLevel="1">
      <c r="A35" t="inlineStr" s="20">
        <is>
          <t xml:space="preserve">Developer</t>
        </is>
      </c>
      <c r="B35" s="14">
        <f>'CheckoutGuard — Forecast · Chec'!B19*'CheckoutGuard — Assumptions · W'!E6/60*'CheckoutGuard — Assumptions · C'!B16</f>
        <v>0</v>
      </c>
      <c r="C35" s="14">
        <f>'CheckoutGuard — Forecast · Chec'!C19*'CheckoutGuard — Assumptions · W'!E6/60*'CheckoutGuard — Assumptions · C'!B16</f>
        <v>10</v>
      </c>
      <c r="D35" s="14">
        <f>'CheckoutGuard — Forecast · Chec'!D19*'CheckoutGuard — Assumptions · W'!E6/60*'CheckoutGuard — Assumptions · C'!B16</f>
        <v>20.2</v>
      </c>
      <c r="E35" s="14">
        <f>'CheckoutGuard — Forecast · Chec'!E19*'CheckoutGuard — Assumptions · W'!E6/60*'CheckoutGuard — Assumptions · C'!B16</f>
        <v>30.619</v>
      </c>
      <c r="F35" s="14">
        <f>'CheckoutGuard — Forecast · Chec'!F19*'CheckoutGuard — Assumptions · W'!E6/60*'CheckoutGuard — Assumptions · C'!B16</f>
        <v>41.27668</v>
      </c>
      <c r="G35" s="14">
        <f>'CheckoutGuard — Forecast · Chec'!G19*'CheckoutGuard — Assumptions · W'!E6/60*'CheckoutGuard — Assumptions · C'!B16</f>
        <v>52.19344210000001</v>
      </c>
      <c r="H35" s="14">
        <f>'CheckoutGuard — Forecast · Chec'!H19*'CheckoutGuard — Assumptions · W'!E6/60*'CheckoutGuard — Assumptions · C'!B16</f>
        <v>63.39045446200001</v>
      </c>
      <c r="I35" s="14">
        <f>'CheckoutGuard — Forecast · Chec'!I19*'CheckoutGuard — Assumptions · W'!E6/60*'CheckoutGuard — Assumptions · C'!B16</f>
        <v>74.88969723439001</v>
      </c>
      <c r="J35" s="14">
        <f>'CheckoutGuard — Forecast · Chec'!J19*'CheckoutGuard — Assumptions · W'!E6/60*'CheckoutGuard — Assumptions · C'!B16</f>
        <v>86.71401054392084</v>
      </c>
      <c r="K35" s="14">
        <f>'CheckoutGuard — Forecast · Chec'!K19*'CheckoutGuard — Assumptions · W'!E6/60*'CheckoutGuard — Assumptions · C'!B16</f>
        <v>98.88714466549385</v>
      </c>
      <c r="L35" s="14">
        <f>'CheckoutGuard — Forecast · Chec'!L19*'CheckoutGuard — Assumptions · W'!E6/60*'CheckoutGuard — Assumptions · C'!B16</f>
        <v>111.43381248531419</v>
      </c>
      <c r="M35" s="14">
        <f>'CheckoutGuard — Forecast · Chec'!M19*'CheckoutGuard — Assumptions · W'!E6/60*'CheckoutGuard — Assumptions · C'!B16</f>
        <v>124.37974437852918</v>
      </c>
      <c r="N35" s="14">
        <f>'CheckoutGuard — Forecast · Chec'!N19*'CheckoutGuard — Assumptions · W'!E6/60*'CheckoutGuard — Assumptions · C'!B16</f>
        <v>137.75174562833647</v>
      </c>
      <c r="O35" s="14">
        <f>'CheckoutGuard — Forecast · Chec'!O19*'CheckoutGuard — Assumptions · W'!E6/60*'CheckoutGuard — Assumptions · C'!B16</f>
        <v>151.5777565197077</v>
      </c>
      <c r="P35" s="14">
        <f>'CheckoutGuard — Forecast · Chec'!P19*'CheckoutGuard — Assumptions · W'!E6/60*'CheckoutGuard — Assumptions · C'!B16</f>
        <v>165.8869152473488</v>
      </c>
      <c r="Q35" s="14">
        <f>'CheckoutGuard — Forecast · Chec'!Q19*'CheckoutGuard — Assumptions · W'!E6/60*'CheckoutGuard — Assumptions · C'!B16</f>
        <v>180.70962378432233</v>
      </c>
      <c r="R35" s="14">
        <f>'CheckoutGuard — Forecast · Chec'!R19*'CheckoutGuard — Assumptions · W'!E6/60*'CheckoutGuard — Assumptions · C'!B16</f>
        <v>196.07761686490636</v>
      </c>
      <c r="S35" s="14">
        <f>'CheckoutGuard — Forecast · Chec'!S19*'CheckoutGuard — Assumptions · W'!E6/60*'CheckoutGuard — Assumptions · C'!B16</f>
        <v>212.02403424277858</v>
      </c>
      <c r="T35" s="14">
        <f>'CheckoutGuard — Forecast · Chec'!T19*'CheckoutGuard — Assumptions · W'!E6/60*'CheckoutGuard — Assumptions · C'!B16</f>
        <v>228.58349639350558</v>
      </c>
      <c r="U35" s="14">
        <f>'CheckoutGuard — Forecast · Chec'!U19*'CheckoutGuard — Assumptions · W'!E6/60*'CheckoutGuard — Assumptions · C'!B16</f>
        <v>245.79218383861127</v>
      </c>
      <c r="V35" s="14">
        <f>'CheckoutGuard — Forecast · Chec'!V19*'CheckoutGuard — Assumptions · W'!E6/60*'CheckoutGuard — Assumptions · C'!B16</f>
        <v>263.68792027720934</v>
      </c>
      <c r="W35" s="14">
        <f>'CheckoutGuard — Forecast · Chec'!W19*'CheckoutGuard — Assumptions · W'!E6/60*'CheckoutGuard — Assumptions · C'!B16</f>
        <v>282.3102597203373</v>
      </c>
      <c r="X35" s="14">
        <f>'CheckoutGuard — Forecast · Chec'!X19*'CheckoutGuard — Assumptions · W'!E6/60*'CheckoutGuard — Assumptions · C'!B16</f>
        <v>301.7005778327436</v>
      </c>
      <c r="Y35" s="14">
        <f>'CheckoutGuard — Forecast · Chec'!Y19*'CheckoutGuard — Assumptions · W'!E6/60*'CheckoutGuard — Assumptions · C'!B16</f>
        <v>321.90216769697855</v>
      </c>
      <c r="Z35" s="14">
        <f>'CheckoutGuard — Forecast · Chec'!Z19*'CheckoutGuard — Assumptions · W'!E6/60*'CheckoutGuard — Assumptions · C'!B16</f>
        <v>342.9603402252473</v>
      </c>
    </row>
    <row r="36" outlineLevel="1">
      <c r="A36" t="inlineStr" s="20">
        <is>
          <t xml:space="preserve">Team</t>
        </is>
      </c>
      <c r="B36" s="14">
        <f>'CheckoutGuard — Forecast · Chec'!B20*'CheckoutGuard — Assumptions · W'!E7/60*'CheckoutGuard — Assumptions · C'!B16</f>
        <v>0</v>
      </c>
      <c r="C36" s="14">
        <f>'CheckoutGuard — Forecast · Chec'!C20*'CheckoutGuard — Assumptions · W'!E7/60*'CheckoutGuard — Assumptions · C'!B16</f>
        <v>25</v>
      </c>
      <c r="D36" s="14">
        <f>'CheckoutGuard — Forecast · Chec'!D20*'CheckoutGuard — Assumptions · W'!E7/60*'CheckoutGuard — Assumptions · C'!B16</f>
        <v>50.5</v>
      </c>
      <c r="E36" s="14">
        <f>'CheckoutGuard — Forecast · Chec'!E20*'CheckoutGuard — Assumptions · W'!E7/60*'CheckoutGuard — Assumptions · C'!B16</f>
        <v>76.5475</v>
      </c>
      <c r="F36" s="14">
        <f>'CheckoutGuard — Forecast · Chec'!F20*'CheckoutGuard — Assumptions · W'!E7/60*'CheckoutGuard — Assumptions · C'!B16</f>
        <v>103.1917</v>
      </c>
      <c r="G36" s="14">
        <f>'CheckoutGuard — Forecast · Chec'!G20*'CheckoutGuard — Assumptions · W'!E7/60*'CheckoutGuard — Assumptions · C'!B16</f>
        <v>130.48360524999998</v>
      </c>
      <c r="H36" s="14">
        <f>'CheckoutGuard — Forecast · Chec'!H20*'CheckoutGuard — Assumptions · W'!E7/60*'CheckoutGuard — Assumptions · C'!B16</f>
        <v>158.476136155</v>
      </c>
      <c r="I36" s="14">
        <f>'CheckoutGuard — Forecast · Chec'!I20*'CheckoutGuard — Assumptions · W'!E7/60*'CheckoutGuard — Assumptions · C'!B16</f>
        <v>187.22424308597505</v>
      </c>
      <c r="J36" s="14">
        <f>'CheckoutGuard — Forecast · Chec'!J20*'CheckoutGuard — Assumptions · W'!E7/60*'CheckoutGuard — Assumptions · C'!B16</f>
        <v>216.7850263598021</v>
      </c>
      <c r="K36" s="14">
        <f>'CheckoutGuard — Forecast · Chec'!K20*'CheckoutGuard — Assumptions · W'!E7/60*'CheckoutGuard — Assumptions · C'!B16</f>
        <v>247.2178616637346</v>
      </c>
      <c r="L36" s="14">
        <f>'CheckoutGuard — Forecast · Chec'!L20*'CheckoutGuard — Assumptions · W'!E7/60*'CheckoutGuard — Assumptions · C'!B16</f>
        <v>278.58453121328546</v>
      </c>
      <c r="M36" s="14">
        <f>'CheckoutGuard — Forecast · Chec'!M20*'CheckoutGuard — Assumptions · W'!E7/60*'CheckoutGuard — Assumptions · C'!B16</f>
        <v>310.949360946323</v>
      </c>
      <c r="N36" s="14">
        <f>'CheckoutGuard — Forecast · Chec'!N20*'CheckoutGuard — Assumptions · W'!E7/60*'CheckoutGuard — Assumptions · C'!B16</f>
        <v>344.3793640708412</v>
      </c>
      <c r="O36" s="14">
        <f>'CheckoutGuard — Forecast · Chec'!O20*'CheckoutGuard — Assumptions · W'!E7/60*'CheckoutGuard — Assumptions · C'!B16</f>
        <v>378.9443912992692</v>
      </c>
      <c r="P36" s="14">
        <f>'CheckoutGuard — Forecast · Chec'!P20*'CheckoutGuard — Assumptions · W'!E7/60*'CheckoutGuard — Assumptions · C'!B16</f>
        <v>414.717288118372</v>
      </c>
      <c r="Q36" s="14">
        <f>'CheckoutGuard — Forecast · Chec'!Q20*'CheckoutGuard — Assumptions · W'!E7/60*'CheckoutGuard — Assumptions · C'!B16</f>
        <v>451.7740594608058</v>
      </c>
      <c r="R36" s="14">
        <f>'CheckoutGuard — Forecast · Chec'!R20*'CheckoutGuard — Assumptions · W'!E7/60*'CheckoutGuard — Assumptions · C'!B16</f>
        <v>490.1940421622659</v>
      </c>
      <c r="S36" s="14">
        <f>'CheckoutGuard — Forecast · Chec'!S20*'CheckoutGuard — Assumptions · W'!E7/60*'CheckoutGuard — Assumptions · C'!B16</f>
        <v>530.0600856069465</v>
      </c>
      <c r="T36" s="14">
        <f>'CheckoutGuard — Forecast · Chec'!T20*'CheckoutGuard — Assumptions · W'!E7/60*'CheckoutGuard — Assumptions · C'!B16</f>
        <v>571.458740983764</v>
      </c>
      <c r="U36" s="14">
        <f>'CheckoutGuard — Forecast · Chec'!U20*'CheckoutGuard — Assumptions · W'!E7/60*'CheckoutGuard — Assumptions · C'!B16</f>
        <v>614.4804595965281</v>
      </c>
      <c r="V36" s="14">
        <f>'CheckoutGuard — Forecast · Chec'!V20*'CheckoutGuard — Assumptions · W'!E7/60*'CheckoutGuard — Assumptions · C'!B16</f>
        <v>659.2198006930233</v>
      </c>
      <c r="W36" s="14">
        <f>'CheckoutGuard — Forecast · Chec'!W20*'CheckoutGuard — Assumptions · W'!E7/60*'CheckoutGuard — Assumptions · C'!B16</f>
        <v>705.7756493008432</v>
      </c>
      <c r="X36" s="14">
        <f>'CheckoutGuard — Forecast · Chec'!X20*'CheckoutGuard — Assumptions · W'!E7/60*'CheckoutGuard — Assumptions · C'!B16</f>
        <v>754.251444581859</v>
      </c>
      <c r="Y36" s="14">
        <f>'CheckoutGuard — Forecast · Chec'!Y20*'CheckoutGuard — Assumptions · W'!E7/60*'CheckoutGuard — Assumptions · C'!B16</f>
        <v>804.7554192424464</v>
      </c>
      <c r="Z36" s="14">
        <f>'CheckoutGuard — Forecast · Chec'!Z20*'CheckoutGuard — Assumptions · W'!E7/60*'CheckoutGuard — Assumptions · C'!B16</f>
        <v>857.4008505631182</v>
      </c>
    </row>
    <row r="37">
      <c r="A37" t="inlineStr" s="5">
        <is>
          <t xml:space="preserve">Contribution</t>
        </is>
      </c>
      <c r="B37" s="11">
        <f>SUM('CheckoutGuard — Forecast · Chec'!B38,'CheckoutGuard — Forecast · Chec'!B39,'CheckoutGuard — Forecast · Chec'!B40)</f>
        <v>0</v>
      </c>
      <c r="C37" s="11">
        <f>SUM('CheckoutGuard — Forecast · Chec'!C38,'CheckoutGuard — Forecast · Chec'!C39,'CheckoutGuard — Forecast · Chec'!C40)</f>
        <v>320.99084</v>
      </c>
      <c r="D37" s="11">
        <f>SUM('CheckoutGuard — Forecast · Chec'!D38,'CheckoutGuard — Forecast · Chec'!D39,'CheckoutGuard — Forecast · Chec'!D40)</f>
        <v>648.4014968</v>
      </c>
      <c r="E37" s="11">
        <f>SUM('CheckoutGuard — Forecast · Chec'!E38,'CheckoutGuard — Forecast · Chec'!E39,'CheckoutGuard — Forecast · Chec'!E40)</f>
        <v>982.841852996</v>
      </c>
      <c r="F37" s="11">
        <f>SUM('CheckoutGuard — Forecast · Chec'!F38,'CheckoutGuard — Forecast · Chec'!F39,'CheckoutGuard — Forecast · Chec'!F40)</f>
        <v>1324.94361856112</v>
      </c>
      <c r="G37" s="11">
        <f>SUM('CheckoutGuard — Forecast · Chec'!G38,'CheckoutGuard — Forecast · Chec'!G39,'CheckoutGuard — Forecast · Chec'!G40)</f>
        <v>1675.361682217037</v>
      </c>
      <c r="H37" s="11">
        <f>SUM('CheckoutGuard — Forecast · Chec'!H38,'CheckoutGuard — Forecast · Chec'!H39,'CheckoutGuard — Forecast · Chec'!H40)</f>
        <v>2034.7755225739131</v>
      </c>
      <c r="I37" s="11">
        <f>SUM('CheckoutGuard — Forecast · Chec'!I38,'CheckoutGuard — Forecast · Chec'!I39,'CheckoutGuard — Forecast · Chec'!I40)</f>
        <v>2403.8906822612526</v>
      </c>
      <c r="J37" s="11">
        <f>SUM('CheckoutGuard — Forecast · Chec'!J38,'CheckoutGuard — Forecast · Chec'!J39,'CheckoutGuard — Forecast · Chec'!J40)</f>
        <v>2783.4403084262003</v>
      </c>
      <c r="K37" s="11">
        <f>SUM('CheckoutGuard — Forecast · Chec'!K38,'CheckoutGuard — Forecast · Chec'!K39,'CheckoutGuard — Forecast · Chec'!K40)</f>
        <v>3174.1867631378386</v>
      </c>
      <c r="L37" s="11">
        <f>SUM('CheckoutGuard — Forecast · Chec'!L38,'CheckoutGuard — Forecast · Chec'!L39,'CheckoutGuard — Forecast · Chec'!L40)</f>
        <v>3576.923307406349</v>
      </c>
      <c r="M37" s="11">
        <f>SUM('CheckoutGuard — Forecast · Chec'!M38,'CheckoutGuard — Forecast · Chec'!M39,'CheckoutGuard — Forecast · Chec'!M40)</f>
        <v>3992.4758627049364</v>
      </c>
      <c r="N37" s="11">
        <f>SUM('CheckoutGuard — Forecast · Chec'!N38,'CheckoutGuard — Forecast · Chec'!N39,'CheckoutGuard — Forecast · Chec'!N40)</f>
        <v>4421.7048540706055</v>
      </c>
      <c r="O37" s="11">
        <f>SUM('CheckoutGuard — Forecast · Chec'!O38,'CheckoutGuard — Forecast · Chec'!O39,'CheckoutGuard — Forecast · Chec'!O40)</f>
        <v>4865.507139057645</v>
      </c>
      <c r="P37" s="11">
        <f>SUM('CheckoutGuard — Forecast · Chec'!P38,'CheckoutGuard — Forecast · Chec'!P39,'CheckoutGuard — Forecast · Chec'!P40)</f>
        <v>5324.818027025531</v>
      </c>
      <c r="Q37" s="11">
        <f>SUM('CheckoutGuard — Forecast · Chec'!Q38,'CheckoutGuard — Forecast · Chec'!Q39,'CheckoutGuard — Forecast · Chec'!Q40)</f>
        <v>5800.613393461361</v>
      </c>
      <c r="R37" s="11">
        <f>SUM('CheckoutGuard — Forecast · Chec'!R38,'CheckoutGuard — Forecast · Chec'!R39,'CheckoutGuard — Forecast · Chec'!R40)</f>
        <v>6293.911894266446</v>
      </c>
      <c r="S37" s="11">
        <f>SUM('CheckoutGuard — Forecast · Chec'!S38,'CheckoutGuard — Forecast · Chec'!S39,'CheckoutGuard — Forecast · Chec'!S40)</f>
        <v>6805.777285177825</v>
      </c>
      <c r="T37" s="11">
        <f>SUM('CheckoutGuard — Forecast · Chec'!T38,'CheckoutGuard — Forecast · Chec'!T39,'CheckoutGuard — Forecast · Chec'!T40)</f>
        <v>7337.320851748833</v>
      </c>
      <c r="U37" s="11">
        <f>SUM('CheckoutGuard — Forecast · Chec'!U38,'CheckoutGuard — Forecast · Chec'!U39,'CheckoutGuard — Forecast · Chec'!U40)</f>
        <v>7889.703955579025</v>
      </c>
      <c r="V37" s="11">
        <f>SUM('CheckoutGuard — Forecast · Chec'!V38,'CheckoutGuard — Forecast · Chec'!V39,'CheckoutGuard — Forecast · Chec'!V40)</f>
        <v>8464.140702763445</v>
      </c>
      <c r="W37" s="11">
        <f>SUM('CheckoutGuard — Forecast · Chec'!W38,'CheckoutGuard — Forecast · Chec'!W39,'CheckoutGuard — Forecast · Chec'!W40)</f>
        <v>9061.900740824924</v>
      </c>
      <c r="X37" s="11">
        <f>SUM('CheckoutGuard — Forecast · Chec'!X38,'CheckoutGuard — Forecast · Chec'!X39,'CheckoutGuard — Forecast · Chec'!X40)</f>
        <v>9684.312190701774</v>
      </c>
      <c r="Y37" s="11">
        <f>SUM('CheckoutGuard — Forecast · Chec'!Y38,'CheckoutGuard — Forecast · Chec'!Y39,'CheckoutGuard — Forecast · Chec'!Y40)</f>
        <v>10332.7647206874</v>
      </c>
      <c r="Z37" s="11">
        <f>SUM('CheckoutGuard — Forecast · Chec'!Z38,'CheckoutGuard — Forecast · Chec'!Z39,'CheckoutGuard — Forecast · Chec'!Z40)</f>
        <v>11008.712769558791</v>
      </c>
    </row>
    <row r="38" outlineLevel="1">
      <c r="A38" t="inlineStr" s="20">
        <is>
          <t xml:space="preserve">Agency</t>
        </is>
      </c>
      <c r="B38" s="14">
        <f>'CheckoutGuard — Forecast · Chec'!B22-'CheckoutGuard — Forecast · Chec'!B30-'CheckoutGuard — Forecast · Chec'!B34-'CheckoutGuard — Forecast · Paym'!B6</f>
        <v>0</v>
      </c>
      <c r="C38" s="14">
        <f>'CheckoutGuard — Forecast · Chec'!C22-'CheckoutGuard — Forecast · Chec'!C30-'CheckoutGuard — Forecast · Chec'!C34-'CheckoutGuard — Forecast · Paym'!C6</f>
        <v>120.3222</v>
      </c>
      <c r="D38" s="14">
        <f>'CheckoutGuard — Forecast · Chec'!D22-'CheckoutGuard — Forecast · Chec'!D30-'CheckoutGuard — Forecast · Chec'!D34-'CheckoutGuard — Forecast · Paym'!D6</f>
        <v>243.050844</v>
      </c>
      <c r="E38" s="14">
        <f>'CheckoutGuard — Forecast · Chec'!E22-'CheckoutGuard — Forecast · Chec'!E30-'CheckoutGuard — Forecast · Chec'!E34-'CheckoutGuard — Forecast · Paym'!E6</f>
        <v>368.41454418</v>
      </c>
      <c r="F38" s="14">
        <f>'CheckoutGuard — Forecast · Chec'!F22-'CheckoutGuard — Forecast · Chec'!F30-'CheckoutGuard — Forecast · Chec'!F34-'CheckoutGuard — Forecast · Paym'!F6</f>
        <v>496.6500946296</v>
      </c>
      <c r="G38" s="14">
        <f>'CheckoutGuard — Forecast · Chec'!G22-'CheckoutGuard — Forecast · Chec'!G30-'CheckoutGuard — Forecast · Chec'!G34-'CheckoutGuard — Forecast · Paym'!G6</f>
        <v>628.0029779044622</v>
      </c>
      <c r="H38" s="14">
        <f>'CheckoutGuard — Forecast · Chec'!H22-'CheckoutGuard — Forecast · Chec'!H30-'CheckoutGuard — Forecast · Chec'!H34-'CheckoutGuard — Forecast · Paym'!H6</f>
        <v>762.7278939867657</v>
      </c>
      <c r="I38" s="14">
        <f>'CheckoutGuard — Forecast · Chec'!I22-'CheckoutGuard — Forecast · Chec'!I30-'CheckoutGuard — Forecast · Chec'!I34-'CheckoutGuard — Forecast · Paym'!I6</f>
        <v>901.0893128575722</v>
      </c>
      <c r="J38" s="14">
        <f>'CheckoutGuard — Forecast · Chec'!J22-'CheckoutGuard — Forecast · Chec'!J30-'CheckoutGuard — Forecast · Chec'!J34-'CheckoutGuard — Forecast · Paym'!J6</f>
        <v>1043.362051946775</v>
      </c>
      <c r="K38" s="14">
        <f>'CheckoutGuard — Forecast · Chec'!K22-'CheckoutGuard — Forecast · Chec'!K30-'CheckoutGuard — Forecast · Chec'!K34-'CheckoutGuard — Forecast · Paym'!K6</f>
        <v>1189.8318797870481</v>
      </c>
      <c r="L38" s="14">
        <f>'CheckoutGuard — Forecast · Chec'!L22-'CheckoutGuard — Forecast · Chec'!L30-'CheckoutGuard — Forecast · Chec'!L34-'CheckoutGuard — Forecast · Paym'!L6</f>
        <v>1340.796147262047</v>
      </c>
      <c r="M38" s="14">
        <f>'CheckoutGuard — Forecast · Chec'!M22-'CheckoutGuard — Forecast · Chec'!M30-'CheckoutGuard — Forecast · Chec'!M34-'CheckoutGuard — Forecast · Paym'!M6</f>
        <v>1496.5644479062264</v>
      </c>
      <c r="N38" s="14">
        <f>'CheckoutGuard — Forecast · Chec'!N22-'CheckoutGuard — Forecast · Chec'!N30-'CheckoutGuard — Forecast · Chec'!N34-'CheckoutGuard — Forecast · Paym'!N6</f>
        <v>1657.4593087841827</v>
      </c>
      <c r="O38" s="14">
        <f>'CheckoutGuard — Forecast · Chec'!O22-'CheckoutGuard — Forecast · Chec'!O30-'CheckoutGuard — Forecast · Chec'!O34-'CheckoutGuard — Forecast · Paym'!O6</f>
        <v>1823.8169135515573</v>
      </c>
      <c r="P38" s="14">
        <f>'CheckoutGuard — Forecast · Chec'!P22-'CheckoutGuard — Forecast · Chec'!P30-'CheckoutGuard — Forecast · Chec'!P34-'CheckoutGuard — Forecast · Paym'!P6</f>
        <v>1995.9878593774556</v>
      </c>
      <c r="Q38" s="14">
        <f>'CheckoutGuard — Forecast · Chec'!Q22-'CheckoutGuard — Forecast · Chec'!Q30-'CheckoutGuard — Forecast · Chec'!Q34-'CheckoutGuard — Forecast · Paym'!Q6</f>
        <v>2174.3379494901988</v>
      </c>
      <c r="R38" s="14">
        <f>'CheckoutGuard — Forecast · Chec'!R22-'CheckoutGuard — Forecast · Chec'!R30-'CheckoutGuard — Forecast · Chec'!R34-'CheckoutGuard — Forecast · Paym'!R6</f>
        <v>2359.249023194264</v>
      </c>
      <c r="S38" s="14">
        <f>'CheckoutGuard — Forecast · Chec'!S22-'CheckoutGuard — Forecast · Chec'!S30-'CheckoutGuard — Forecast · Chec'!S34-'CheckoutGuard — Forecast · Paym'!S6</f>
        <v>2551.119825296645</v>
      </c>
      <c r="T38" s="14">
        <f>'CheckoutGuard — Forecast · Chec'!T22-'CheckoutGuard — Forecast · Chec'!T30-'CheckoutGuard — Forecast · Chec'!T34-'CheckoutGuard — Forecast · Paym'!T6</f>
        <v>2750.366916975866</v>
      </c>
      <c r="U38" s="14">
        <f>'CheckoutGuard — Forecast · Chec'!U22-'CheckoutGuard — Forecast · Chec'!U30-'CheckoutGuard — Forecast · Chec'!U34-'CheckoutGuard — Forecast · Paym'!U6</f>
        <v>2957.425630226615</v>
      </c>
      <c r="V38" s="14">
        <f>'CheckoutGuard — Forecast · Chec'!V22-'CheckoutGuard — Forecast · Chec'!V30-'CheckoutGuard — Forecast · Chec'!V34-'CheckoutGuard — Forecast · Paym'!V6</f>
        <v>3172.7510681178433</v>
      </c>
      <c r="W38" s="14">
        <f>'CheckoutGuard — Forecast · Chec'!W22-'CheckoutGuard — Forecast · Chec'!W30-'CheckoutGuard — Forecast · Chec'!W34-'CheckoutGuard — Forecast · Paym'!W6</f>
        <v>3396.819153212237</v>
      </c>
      <c r="X38" s="14">
        <f>'CheckoutGuard — Forecast · Chec'!X22-'CheckoutGuard — Forecast · Chec'!X30-'CheckoutGuard — Forecast · Chec'!X34-'CheckoutGuard — Forecast · Paym'!X6</f>
        <v>3630.1277266106936</v>
      </c>
      <c r="Y38" s="14">
        <f>'CheckoutGuard — Forecast · Chec'!Y22-'CheckoutGuard — Forecast · Chec'!Y30-'CheckoutGuard — Forecast · Chec'!Y34-'CheckoutGuard — Forecast · Paym'!Y6</f>
        <v>3873.1977002069393</v>
      </c>
      <c r="Z38" s="14">
        <f>'CheckoutGuard — Forecast · Chec'!Z22-'CheckoutGuard — Forecast · Chec'!Z30-'CheckoutGuard — Forecast · Chec'!Z34-'CheckoutGuard — Forecast · Paym'!Z6</f>
        <v>4126.574264865025</v>
      </c>
    </row>
    <row r="39" outlineLevel="1">
      <c r="A39" t="inlineStr" s="20">
        <is>
          <t xml:space="preserve">Developer</t>
        </is>
      </c>
      <c r="B39" s="14">
        <f>'CheckoutGuard — Forecast · Chec'!B23-'CheckoutGuard — Forecast · Chec'!B31-'CheckoutGuard — Forecast · Chec'!B35-'CheckoutGuard — Forecast · Paym'!B7</f>
        <v>0</v>
      </c>
      <c r="C39" s="14">
        <f>'CheckoutGuard — Forecast · Chec'!C23-'CheckoutGuard — Forecast · Chec'!C31-'CheckoutGuard — Forecast · Chec'!C35-'CheckoutGuard — Forecast · Paym'!C7</f>
        <v>43.75144</v>
      </c>
      <c r="D39" s="14">
        <f>'CheckoutGuard — Forecast · Chec'!D23-'CheckoutGuard — Forecast · Chec'!D31-'CheckoutGuard — Forecast · Chec'!D35-'CheckoutGuard — Forecast · Paym'!D7</f>
        <v>88.3779088</v>
      </c>
      <c r="E39" s="14">
        <f>'CheckoutGuard — Forecast · Chec'!E23-'CheckoutGuard — Forecast · Chec'!E31-'CheckoutGuard — Forecast · Chec'!E35-'CheckoutGuard — Forecast · Paym'!E7</f>
        <v>133.962534136</v>
      </c>
      <c r="F39" s="14">
        <f>'CheckoutGuard — Forecast · Chec'!F23-'CheckoutGuard — Forecast · Chec'!F31-'CheckoutGuard — Forecast · Chec'!F35-'CheckoutGuard — Forecast · Paym'!F7</f>
        <v>180.59141884192</v>
      </c>
      <c r="G39" s="14">
        <f>'CheckoutGuard — Forecast · Chec'!G23-'CheckoutGuard — Forecast · Chec'!G31-'CheckoutGuard — Forecast · Chec'!G35-'CheckoutGuard — Forecast · Paym'!G7</f>
        <v>228.35382504316243</v>
      </c>
      <c r="H39" s="14">
        <f>'CheckoutGuard — Forecast · Chec'!H23-'CheckoutGuard — Forecast · Chec'!H31-'CheckoutGuard — Forecast · Chec'!H35-'CheckoutGuard — Forecast · Paym'!H7</f>
        <v>277.3423664966926</v>
      </c>
      <c r="I39" s="14">
        <f>'CheckoutGuard — Forecast · Chec'!I23-'CheckoutGuard — Forecast · Chec'!I31-'CheckoutGuard — Forecast · Chec'!I35-'CheckoutGuard — Forecast · Paym'!I7</f>
        <v>327.65320951685806</v>
      </c>
      <c r="J39" s="14">
        <f>'CheckoutGuard — Forecast · Chec'!J23-'CheckoutGuard — Forecast · Chec'!J31-'CheckoutGuard — Forecast · Chec'!J35-'CheckoutGuard — Forecast · Paym'!J7</f>
        <v>379.38628294717194</v>
      </c>
      <c r="K39" s="14">
        <f>'CheckoutGuard — Forecast · Chec'!K23-'CheckoutGuard — Forecast · Chec'!K31-'CheckoutGuard — Forecast · Chec'!K35-'CheckoutGuard — Forecast · Paym'!K7</f>
        <v>432.64549766036737</v>
      </c>
      <c r="L39" s="14">
        <f>'CheckoutGuard — Forecast · Chec'!L23-'CheckoutGuard — Forecast · Chec'!L31-'CheckoutGuard — Forecast · Chec'!L35-'CheckoutGuard — Forecast · Paym'!L7</f>
        <v>487.5389760922475</v>
      </c>
      <c r="M39" s="14">
        <f>'CheckoutGuard — Forecast · Chec'!M23-'CheckoutGuard — Forecast · Chec'!M31-'CheckoutGuard — Forecast · Chec'!M35-'CheckoutGuard — Forecast · Paym'!M7</f>
        <v>544.1792923392558</v>
      </c>
      <c r="N39" s="14">
        <f>'CheckoutGuard — Forecast · Chec'!N23-'CheckoutGuard — Forecast · Chec'!N31-'CheckoutGuard — Forecast · Chec'!N35-'CheckoutGuard — Forecast · Paym'!N7</f>
        <v>602.6837233753425</v>
      </c>
      <c r="O39" s="14">
        <f>'CheckoutGuard — Forecast · Chec'!O23-'CheckoutGuard — Forecast · Chec'!O31-'CheckoutGuard — Forecast · Chec'!O35-'CheckoutGuard — Forecast · Paym'!O7</f>
        <v>663.17451197066</v>
      </c>
      <c r="P39" s="14">
        <f>'CheckoutGuard — Forecast · Chec'!P23-'CheckoutGuard — Forecast · Chec'!P31-'CheckoutGuard — Forecast · Chec'!P35-'CheckoutGuard — Forecast · Paym'!P7</f>
        <v>725.7791419229466</v>
      </c>
      <c r="Q39" s="14">
        <f>'CheckoutGuard — Forecast · Chec'!Q23-'CheckoutGuard — Forecast · Chec'!Q31-'CheckoutGuard — Forecast · Chec'!Q35-'CheckoutGuard — Forecast · Paym'!Q7</f>
        <v>790.6306262422352</v>
      </c>
      <c r="R39" s="14">
        <f>'CheckoutGuard — Forecast · Chec'!R23-'CheckoutGuard — Forecast · Chec'!R31-'CheckoutGuard — Forecast · Chec'!R35-'CheckoutGuard — Forecast · Paym'!R7</f>
        <v>857.8678089607939</v>
      </c>
      <c r="S39" s="14">
        <f>'CheckoutGuard — Forecast · Chec'!S23-'CheckoutGuard — Forecast · Chec'!S31-'CheckoutGuard — Forecast · Chec'!S35-'CheckoutGuard — Forecast · Paym'!S7</f>
        <v>927.6356812730874</v>
      </c>
      <c r="T39" s="14">
        <f>'CheckoutGuard — Forecast · Chec'!T23-'CheckoutGuard — Forecast · Chec'!T31-'CheckoutGuard — Forecast · Chec'!T35-'CheckoutGuard — Forecast · Paym'!T7</f>
        <v>1000.0857127450674</v>
      </c>
      <c r="U39" s="14">
        <f>'CheckoutGuard — Forecast · Chec'!U23-'CheckoutGuard — Forecast · Chec'!U31-'CheckoutGuard — Forecast · Chec'!U35-'CheckoutGuard — Forecast · Paym'!U7</f>
        <v>1075.3761983683971</v>
      </c>
      <c r="V39" s="14">
        <f>'CheckoutGuard — Forecast · Chec'!V23-'CheckoutGuard — Forecast · Chec'!V31-'CheckoutGuard — Forecast · Chec'!V35-'CheckoutGuard — Forecast · Paym'!V7</f>
        <v>1153.672622273311</v>
      </c>
      <c r="W39" s="14">
        <f>'CheckoutGuard — Forecast · Chec'!W23-'CheckoutGuard — Forecast · Chec'!W31-'CheckoutGuard — Forecast · Chec'!W35-'CheckoutGuard — Forecast · Paym'!W7</f>
        <v>1235.1480389538754</v>
      </c>
      <c r="X39" s="14">
        <f>'CheckoutGuard — Forecast · Chec'!X23-'CheckoutGuard — Forecast · Chec'!X31-'CheckoutGuard — Forecast · Chec'!X35-'CheckoutGuard — Forecast · Paym'!X7</f>
        <v>1319.983472901461</v>
      </c>
      <c r="Y39" s="14">
        <f>'CheckoutGuard — Forecast · Chec'!Y23-'CheckoutGuard — Forecast · Chec'!Y31-'CheckoutGuard — Forecast · Chec'!Y35-'CheckoutGuard — Forecast · Paym'!Y7</f>
        <v>1408.3683375864293</v>
      </c>
      <c r="Z39" s="14">
        <f>'CheckoutGuard — Forecast · Chec'!Z23-'CheckoutGuard — Forecast · Chec'!Z31-'CheckoutGuard — Forecast · Chec'!Z35-'CheckoutGuard — Forecast · Paym'!Z7</f>
        <v>1500.5008747744494</v>
      </c>
    </row>
    <row r="40" outlineLevel="1">
      <c r="A40" t="inlineStr" s="20">
        <is>
          <t xml:space="preserve">Team</t>
        </is>
      </c>
      <c r="B40" s="14">
        <f>'CheckoutGuard — Forecast · Chec'!B24-'CheckoutGuard — Forecast · Chec'!B32-'CheckoutGuard — Forecast · Chec'!B36-'CheckoutGuard — Forecast · Paym'!B8</f>
        <v>0</v>
      </c>
      <c r="C40" s="14">
        <f>'CheckoutGuard — Forecast · Chec'!C24-'CheckoutGuard — Forecast · Chec'!C32-'CheckoutGuard — Forecast · Chec'!C36-'CheckoutGuard — Forecast · Paym'!C8</f>
        <v>156.9172</v>
      </c>
      <c r="D40" s="14">
        <f>'CheckoutGuard — Forecast · Chec'!D24-'CheckoutGuard — Forecast · Chec'!D32-'CheckoutGuard — Forecast · Chec'!D36-'CheckoutGuard — Forecast · Paym'!D8</f>
        <v>316.972744</v>
      </c>
      <c r="E40" s="14">
        <f>'CheckoutGuard — Forecast · Chec'!E24-'CheckoutGuard — Forecast · Chec'!E32-'CheckoutGuard — Forecast · Chec'!E36-'CheckoutGuard — Forecast · Paym'!E8</f>
        <v>480.46477467999995</v>
      </c>
      <c r="F40" s="14">
        <f>'CheckoutGuard — Forecast · Chec'!F24-'CheckoutGuard — Forecast · Chec'!F32-'CheckoutGuard — Forecast · Chec'!F36-'CheckoutGuard — Forecast · Paym'!F8</f>
        <v>647.7021050896001</v>
      </c>
      <c r="G40" s="14">
        <f>'CheckoutGuard — Forecast · Chec'!G24-'CheckoutGuard — Forecast · Chec'!G32-'CheckoutGuard — Forecast · Chec'!G36-'CheckoutGuard — Forecast · Paym'!G8</f>
        <v>819.0048792694123</v>
      </c>
      <c r="H40" s="14">
        <f>'CheckoutGuard — Forecast · Chec'!H24-'CheckoutGuard — Forecast · Chec'!H32-'CheckoutGuard — Forecast · Chec'!H36-'CheckoutGuard — Forecast · Paym'!H8</f>
        <v>994.7052620904549</v>
      </c>
      <c r="I40" s="14">
        <f>'CheckoutGuard — Forecast · Chec'!I24-'CheckoutGuard — Forecast · Chec'!I32-'CheckoutGuard — Forecast · Chec'!I36-'CheckoutGuard — Forecast · Paym'!I8</f>
        <v>1175.1481598868224</v>
      </c>
      <c r="J40" s="14">
        <f>'CheckoutGuard — Forecast · Chec'!J24-'CheckoutGuard — Forecast · Chec'!J32-'CheckoutGuard — Forecast · Chec'!J36-'CheckoutGuard — Forecast · Paym'!J8</f>
        <v>1360.6919735322535</v>
      </c>
      <c r="K40" s="14">
        <f>'CheckoutGuard — Forecast · Chec'!K24-'CheckoutGuard — Forecast · Chec'!K32-'CheckoutGuard — Forecast · Chec'!K36-'CheckoutGuard — Forecast · Paym'!K8</f>
        <v>1551.709385690423</v>
      </c>
      <c r="L40" s="14">
        <f>'CheckoutGuard — Forecast · Chec'!L24-'CheckoutGuard — Forecast · Chec'!L32-'CheckoutGuard — Forecast · Chec'!L36-'CheckoutGuard — Forecast · Paym'!L8</f>
        <v>1748.5881840520544</v>
      </c>
      <c r="M40" s="14">
        <f>'CheckoutGuard — Forecast · Chec'!M24-'CheckoutGuard — Forecast · Chec'!M32-'CheckoutGuard — Forecast · Chec'!M36-'CheckoutGuard — Forecast · Paym'!M8</f>
        <v>1951.7321224594543</v>
      </c>
      <c r="N40" s="14">
        <f>'CheckoutGuard — Forecast · Chec'!N24-'CheckoutGuard — Forecast · Chec'!N32-'CheckoutGuard — Forecast · Chec'!N36-'CheckoutGuard — Forecast · Paym'!N8</f>
        <v>2161.56182191108</v>
      </c>
      <c r="O40" s="14">
        <f>'CheckoutGuard — Forecast · Chec'!O24-'CheckoutGuard — Forecast · Chec'!O32-'CheckoutGuard — Forecast · Chec'!O36-'CheckoutGuard — Forecast · Paym'!O8</f>
        <v>2378.5157135354275</v>
      </c>
      <c r="P40" s="14">
        <f>'CheckoutGuard — Forecast · Chec'!P24-'CheckoutGuard — Forecast · Chec'!P32-'CheckoutGuard — Forecast · Chec'!P36-'CheckoutGuard — Forecast · Paym'!P8</f>
        <v>2603.0510257251285</v>
      </c>
      <c r="Q40" s="14">
        <f>'CheckoutGuard — Forecast · Chec'!Q24-'CheckoutGuard — Forecast · Chec'!Q32-'CheckoutGuard — Forecast · Chec'!Q36-'CheckoutGuard — Forecast · Paym'!Q8</f>
        <v>2835.6448177289267</v>
      </c>
      <c r="R40" s="14">
        <f>'CheckoutGuard — Forecast · Chec'!R24-'CheckoutGuard — Forecast · Chec'!R32-'CheckoutGuard — Forecast · Chec'!R36-'CheckoutGuard — Forecast · Paym'!R8</f>
        <v>3076.7950621113887</v>
      </c>
      <c r="S40" s="14">
        <f>'CheckoutGuard — Forecast · Chec'!S24-'CheckoutGuard — Forecast · Chec'!S32-'CheckoutGuard — Forecast · Chec'!S36-'CheckoutGuard — Forecast · Paym'!S8</f>
        <v>3327.021778608093</v>
      </c>
      <c r="T40" s="14">
        <f>'CheckoutGuard — Forecast · Chec'!T24-'CheckoutGuard — Forecast · Chec'!T32-'CheckoutGuard — Forecast · Chec'!T36-'CheckoutGuard — Forecast · Paym'!T8</f>
        <v>3586.8682220278993</v>
      </c>
      <c r="U40" s="14">
        <f>'CheckoutGuard — Forecast · Chec'!U24-'CheckoutGuard — Forecast · Chec'!U32-'CheckoutGuard — Forecast · Chec'!U36-'CheckoutGuard — Forecast · Paym'!U8</f>
        <v>3856.902126984013</v>
      </c>
      <c r="V40" s="14">
        <f>'CheckoutGuard — Forecast · Chec'!V24-'CheckoutGuard — Forecast · Chec'!V32-'CheckoutGuard — Forecast · Chec'!V36-'CheckoutGuard — Forecast · Paym'!V8</f>
        <v>4137.717012372291</v>
      </c>
      <c r="W40" s="14">
        <f>'CheckoutGuard — Forecast · Chec'!W24-'CheckoutGuard — Forecast · Chec'!W32-'CheckoutGuard — Forecast · Chec'!W36-'CheckoutGuard — Forecast · Paym'!W8</f>
        <v>4429.933548658812</v>
      </c>
      <c r="X40" s="14">
        <f>'CheckoutGuard — Forecast · Chec'!X24-'CheckoutGuard — Forecast · Chec'!X32-'CheckoutGuard — Forecast · Chec'!X36-'CheckoutGuard — Forecast · Paym'!X8</f>
        <v>4734.200991189619</v>
      </c>
      <c r="Y40" s="14">
        <f>'CheckoutGuard — Forecast · Chec'!Y24-'CheckoutGuard — Forecast · Chec'!Y32-'CheckoutGuard — Forecast · Chec'!Y36-'CheckoutGuard — Forecast · Paym'!Y8</f>
        <v>5051.198682894032</v>
      </c>
      <c r="Z40" s="14">
        <f>'CheckoutGuard — Forecast · Chec'!Z24-'CheckoutGuard — Forecast · Chec'!Z32-'CheckoutGuard — Forecast · Chec'!Z36-'CheckoutGuard — Forecast · Paym'!Z8</f>
        <v>5381.637629919317</v>
      </c>
    </row>
    <row r="41">
      <c r="A41" t="inlineStr" s="5">
        <is>
          <t xml:space="preserve">Contribution margin</t>
        </is>
      </c>
      <c r="B41" t="str" s="19">
        <f>IFERROR('CheckoutGuard — Forecast · Chec'!B37/'CheckoutGuard — Forecast · Chec'!B21,"")</f>
        <v/>
      </c>
      <c r="C41" s="19">
        <f>IFERROR('CheckoutGuard — Forecast · Chec'!C37/'CheckoutGuard — Forecast · Chec'!C21,"")</f>
        <v>0.7915927003699137</v>
      </c>
      <c r="D41" s="19">
        <f>IFERROR('CheckoutGuard — Forecast · Chec'!D37/'CheckoutGuard — Forecast · Chec'!D21,"")</f>
        <v>0.7915927003699137</v>
      </c>
      <c r="E41" s="19">
        <f>IFERROR('CheckoutGuard — Forecast · Chec'!E37/'CheckoutGuard — Forecast · Chec'!E21,"")</f>
        <v>0.7915927003699137</v>
      </c>
      <c r="F41" s="19">
        <f>IFERROR('CheckoutGuard — Forecast · Chec'!F37/'CheckoutGuard — Forecast · Chec'!F21,"")</f>
        <v>0.7915927003699137</v>
      </c>
      <c r="G41" s="19">
        <f>IFERROR('CheckoutGuard — Forecast · Chec'!G37/'CheckoutGuard — Forecast · Chec'!G21,"")</f>
        <v>0.7915927003699137</v>
      </c>
      <c r="H41" s="19">
        <f>IFERROR('CheckoutGuard — Forecast · Chec'!H37/'CheckoutGuard — Forecast · Chec'!H21,"")</f>
        <v>0.7915927003699137</v>
      </c>
      <c r="I41" s="19">
        <f>IFERROR('CheckoutGuard — Forecast · Chec'!I37/'CheckoutGuard — Forecast · Chec'!I21,"")</f>
        <v>0.7915927003699135</v>
      </c>
      <c r="J41" s="19">
        <f>IFERROR('CheckoutGuard — Forecast · Chec'!J37/'CheckoutGuard — Forecast · Chec'!J21,"")</f>
        <v>0.7915927003699137</v>
      </c>
      <c r="K41" s="19">
        <f>IFERROR('CheckoutGuard — Forecast · Chec'!K37/'CheckoutGuard — Forecast · Chec'!K21,"")</f>
        <v>0.7915927003699137</v>
      </c>
      <c r="L41" s="19">
        <f>IFERROR('CheckoutGuard — Forecast · Chec'!L37/'CheckoutGuard — Forecast · Chec'!L21,"")</f>
        <v>0.7915927003699137</v>
      </c>
      <c r="M41" s="19">
        <f>IFERROR('CheckoutGuard — Forecast · Chec'!M37/'CheckoutGuard — Forecast · Chec'!M21,"")</f>
        <v>0.7915927003699138</v>
      </c>
      <c r="N41" s="19">
        <f>IFERROR('CheckoutGuard — Forecast · Chec'!N37/'CheckoutGuard — Forecast · Chec'!N21,"")</f>
        <v>0.7915927003699137</v>
      </c>
      <c r="O41" s="19">
        <f>IFERROR('CheckoutGuard — Forecast · Chec'!O37/'CheckoutGuard — Forecast · Chec'!O21,"")</f>
        <v>0.7915927003699137</v>
      </c>
      <c r="P41" s="19">
        <f>IFERROR('CheckoutGuard — Forecast · Chec'!P37/'CheckoutGuard — Forecast · Chec'!P21,"")</f>
        <v>0.7915927003699138</v>
      </c>
      <c r="Q41" s="19">
        <f>IFERROR('CheckoutGuard — Forecast · Chec'!Q37/'CheckoutGuard — Forecast · Chec'!Q21,"")</f>
        <v>0.7915927003699137</v>
      </c>
      <c r="R41" s="19">
        <f>IFERROR('CheckoutGuard — Forecast · Chec'!R37/'CheckoutGuard — Forecast · Chec'!R21,"")</f>
        <v>0.7915927003699137</v>
      </c>
      <c r="S41" s="19">
        <f>IFERROR('CheckoutGuard — Forecast · Chec'!S37/'CheckoutGuard — Forecast · Chec'!S21,"")</f>
        <v>0.7915927003699137</v>
      </c>
      <c r="T41" s="19">
        <f>IFERROR('CheckoutGuard — Forecast · Chec'!T37/'CheckoutGuard — Forecast · Chec'!T21,"")</f>
        <v>0.7915927003699137</v>
      </c>
      <c r="U41" s="19">
        <f>IFERROR('CheckoutGuard — Forecast · Chec'!U37/'CheckoutGuard — Forecast · Chec'!U21,"")</f>
        <v>0.7915927003699136</v>
      </c>
      <c r="V41" s="19">
        <f>IFERROR('CheckoutGuard — Forecast · Chec'!V37/'CheckoutGuard — Forecast · Chec'!V21,"")</f>
        <v>0.7915927003699137</v>
      </c>
      <c r="W41" s="19">
        <f>IFERROR('CheckoutGuard — Forecast · Chec'!W37/'CheckoutGuard — Forecast · Chec'!W21,"")</f>
        <v>0.7915927003699138</v>
      </c>
      <c r="X41" s="19">
        <f>IFERROR('CheckoutGuard — Forecast · Chec'!X37/'CheckoutGuard — Forecast · Chec'!X21,"")</f>
        <v>0.7915927003699136</v>
      </c>
      <c r="Y41" s="19">
        <f>IFERROR('CheckoutGuard — Forecast · Chec'!Y37/'CheckoutGuard — Forecast · Chec'!Y21,"")</f>
        <v>0.7915927003699137</v>
      </c>
      <c r="Z41" s="19">
        <f>IFERROR('CheckoutGuard — Forecast · Chec'!Z37/'CheckoutGuard — Forecast · Chec'!Z21,"")</f>
        <v>0.7915927003699137</v>
      </c>
    </row>
    <row r="42" outlineLevel="1">
      <c r="A42" t="inlineStr" s="20">
        <is>
          <t xml:space="preserve">Agency</t>
        </is>
      </c>
      <c r="B42" t="str" s="18">
        <f>IFERROR('CheckoutGuard — Forecast · Chec'!B38/'CheckoutGuard — Forecast · Chec'!B22,"")</f>
        <v/>
      </c>
      <c r="C42" s="18">
        <f>IFERROR('CheckoutGuard — Forecast · Chec'!C38/'CheckoutGuard — Forecast · Chec'!C22,"")</f>
        <v>0.8048307692307692</v>
      </c>
      <c r="D42" s="18">
        <f>IFERROR('CheckoutGuard — Forecast · Chec'!D38/'CheckoutGuard — Forecast · Chec'!D22,"")</f>
        <v>0.8048307692307692</v>
      </c>
      <c r="E42" s="18">
        <f>IFERROR('CheckoutGuard — Forecast · Chec'!E38/'CheckoutGuard — Forecast · Chec'!E22,"")</f>
        <v>0.8048307692307692</v>
      </c>
      <c r="F42" s="18">
        <f>IFERROR('CheckoutGuard — Forecast · Chec'!F38/'CheckoutGuard — Forecast · Chec'!F22,"")</f>
        <v>0.8048307692307692</v>
      </c>
      <c r="G42" s="18">
        <f>IFERROR('CheckoutGuard — Forecast · Chec'!G38/'CheckoutGuard — Forecast · Chec'!G22,"")</f>
        <v>0.8048307692307693</v>
      </c>
      <c r="H42" s="18">
        <f>IFERROR('CheckoutGuard — Forecast · Chec'!H38/'CheckoutGuard — Forecast · Chec'!H22,"")</f>
        <v>0.8048307692307692</v>
      </c>
      <c r="I42" s="18">
        <f>IFERROR('CheckoutGuard — Forecast · Chec'!I38/'CheckoutGuard — Forecast · Chec'!I22,"")</f>
        <v>0.8048307692307692</v>
      </c>
      <c r="J42" s="18">
        <f>IFERROR('CheckoutGuard — Forecast · Chec'!J38/'CheckoutGuard — Forecast · Chec'!J22,"")</f>
        <v>0.8048307692307691</v>
      </c>
      <c r="K42" s="18">
        <f>IFERROR('CheckoutGuard — Forecast · Chec'!K38/'CheckoutGuard — Forecast · Chec'!K22,"")</f>
        <v>0.8048307692307691</v>
      </c>
      <c r="L42" s="18">
        <f>IFERROR('CheckoutGuard — Forecast · Chec'!L38/'CheckoutGuard — Forecast · Chec'!L22,"")</f>
        <v>0.8048307692307691</v>
      </c>
      <c r="M42" s="18">
        <f>IFERROR('CheckoutGuard — Forecast · Chec'!M38/'CheckoutGuard — Forecast · Chec'!M22,"")</f>
        <v>0.8048307692307692</v>
      </c>
      <c r="N42" s="18">
        <f>IFERROR('CheckoutGuard — Forecast · Chec'!N38/'CheckoutGuard — Forecast · Chec'!N22,"")</f>
        <v>0.8048307692307692</v>
      </c>
      <c r="O42" s="18">
        <f>IFERROR('CheckoutGuard — Forecast · Chec'!O38/'CheckoutGuard — Forecast · Chec'!O22,"")</f>
        <v>0.8048307692307692</v>
      </c>
      <c r="P42" s="18">
        <f>IFERROR('CheckoutGuard — Forecast · Chec'!P38/'CheckoutGuard — Forecast · Chec'!P22,"")</f>
        <v>0.8048307692307693</v>
      </c>
      <c r="Q42" s="18">
        <f>IFERROR('CheckoutGuard — Forecast · Chec'!Q38/'CheckoutGuard — Forecast · Chec'!Q22,"")</f>
        <v>0.8048307692307691</v>
      </c>
      <c r="R42" s="18">
        <f>IFERROR('CheckoutGuard — Forecast · Chec'!R38/'CheckoutGuard — Forecast · Chec'!R22,"")</f>
        <v>0.8048307692307692</v>
      </c>
      <c r="S42" s="18">
        <f>IFERROR('CheckoutGuard — Forecast · Chec'!S38/'CheckoutGuard — Forecast · Chec'!S22,"")</f>
        <v>0.8048307692307691</v>
      </c>
      <c r="T42" s="18">
        <f>IFERROR('CheckoutGuard — Forecast · Chec'!T38/'CheckoutGuard — Forecast · Chec'!T22,"")</f>
        <v>0.8048307692307693</v>
      </c>
      <c r="U42" s="18">
        <f>IFERROR('CheckoutGuard — Forecast · Chec'!U38/'CheckoutGuard — Forecast · Chec'!U22,"")</f>
        <v>0.8048307692307691</v>
      </c>
      <c r="V42" s="18">
        <f>IFERROR('CheckoutGuard — Forecast · Chec'!V38/'CheckoutGuard — Forecast · Chec'!V22,"")</f>
        <v>0.8048307692307691</v>
      </c>
      <c r="W42" s="18">
        <f>IFERROR('CheckoutGuard — Forecast · Chec'!W38/'CheckoutGuard — Forecast · Chec'!W22,"")</f>
        <v>0.8048307692307692</v>
      </c>
      <c r="X42" s="18">
        <f>IFERROR('CheckoutGuard — Forecast · Chec'!X38/'CheckoutGuard — Forecast · Chec'!X22,"")</f>
        <v>0.8048307692307691</v>
      </c>
      <c r="Y42" s="18">
        <f>IFERROR('CheckoutGuard — Forecast · Chec'!Y38/'CheckoutGuard — Forecast · Chec'!Y22,"")</f>
        <v>0.8048307692307692</v>
      </c>
      <c r="Z42" s="18">
        <f>IFERROR('CheckoutGuard — Forecast · Chec'!Z38/'CheckoutGuard — Forecast · Chec'!Z22,"")</f>
        <v>0.8048307692307691</v>
      </c>
    </row>
    <row r="43" outlineLevel="1">
      <c r="A43" t="inlineStr" s="20">
        <is>
          <t xml:space="preserve">Developer</t>
        </is>
      </c>
      <c r="B43" t="str" s="18">
        <f>IFERROR('CheckoutGuard — Forecast · Chec'!B39/'CheckoutGuard — Forecast · Chec'!B23,"")</f>
        <v/>
      </c>
      <c r="C43" s="18">
        <f>IFERROR('CheckoutGuard — Forecast · Chec'!C39/'CheckoutGuard — Forecast · Chec'!C23,"")</f>
        <v>0.7543351724137931</v>
      </c>
      <c r="D43" s="18">
        <f>IFERROR('CheckoutGuard — Forecast · Chec'!D39/'CheckoutGuard — Forecast · Chec'!D23,"")</f>
        <v>0.7543351724137931</v>
      </c>
      <c r="E43" s="18">
        <f>IFERROR('CheckoutGuard — Forecast · Chec'!E39/'CheckoutGuard — Forecast · Chec'!E23,"")</f>
        <v>0.754335172413793</v>
      </c>
      <c r="F43" s="18">
        <f>IFERROR('CheckoutGuard — Forecast · Chec'!F39/'CheckoutGuard — Forecast · Chec'!F23,"")</f>
        <v>0.7543351724137931</v>
      </c>
      <c r="G43" s="18">
        <f>IFERROR('CheckoutGuard — Forecast · Chec'!G39/'CheckoutGuard — Forecast · Chec'!G23,"")</f>
        <v>0.7543351724137931</v>
      </c>
      <c r="H43" s="18">
        <f>IFERROR('CheckoutGuard — Forecast · Chec'!H39/'CheckoutGuard — Forecast · Chec'!H23,"")</f>
        <v>0.7543351724137932</v>
      </c>
      <c r="I43" s="18">
        <f>IFERROR('CheckoutGuard — Forecast · Chec'!I39/'CheckoutGuard — Forecast · Chec'!I23,"")</f>
        <v>0.754335172413793</v>
      </c>
      <c r="J43" s="18">
        <f>IFERROR('CheckoutGuard — Forecast · Chec'!J39/'CheckoutGuard — Forecast · Chec'!J23,"")</f>
        <v>0.7543351724137931</v>
      </c>
      <c r="K43" s="18">
        <f>IFERROR('CheckoutGuard — Forecast · Chec'!K39/'CheckoutGuard — Forecast · Chec'!K23,"")</f>
        <v>0.7543351724137931</v>
      </c>
      <c r="L43" s="18">
        <f>IFERROR('CheckoutGuard — Forecast · Chec'!L39/'CheckoutGuard — Forecast · Chec'!L23,"")</f>
        <v>0.7543351724137931</v>
      </c>
      <c r="M43" s="18">
        <f>IFERROR('CheckoutGuard — Forecast · Chec'!M39/'CheckoutGuard — Forecast · Chec'!M23,"")</f>
        <v>0.7543351724137931</v>
      </c>
      <c r="N43" s="18">
        <f>IFERROR('CheckoutGuard — Forecast · Chec'!N39/'CheckoutGuard — Forecast · Chec'!N23,"")</f>
        <v>0.7543351724137931</v>
      </c>
      <c r="O43" s="18">
        <f>IFERROR('CheckoutGuard — Forecast · Chec'!O39/'CheckoutGuard — Forecast · Chec'!O23,"")</f>
        <v>0.7543351724137931</v>
      </c>
      <c r="P43" s="18">
        <f>IFERROR('CheckoutGuard — Forecast · Chec'!P39/'CheckoutGuard — Forecast · Chec'!P23,"")</f>
        <v>0.754335172413793</v>
      </c>
      <c r="Q43" s="18">
        <f>IFERROR('CheckoutGuard — Forecast · Chec'!Q39/'CheckoutGuard — Forecast · Chec'!Q23,"")</f>
        <v>0.754335172413793</v>
      </c>
      <c r="R43" s="18">
        <f>IFERROR('CheckoutGuard — Forecast · Chec'!R39/'CheckoutGuard — Forecast · Chec'!R23,"")</f>
        <v>0.7543351724137931</v>
      </c>
      <c r="S43" s="18">
        <f>IFERROR('CheckoutGuard — Forecast · Chec'!S39/'CheckoutGuard — Forecast · Chec'!S23,"")</f>
        <v>0.7543351724137931</v>
      </c>
      <c r="T43" s="18">
        <f>IFERROR('CheckoutGuard — Forecast · Chec'!T39/'CheckoutGuard — Forecast · Chec'!T23,"")</f>
        <v>0.7543351724137931</v>
      </c>
      <c r="U43" s="18">
        <f>IFERROR('CheckoutGuard — Forecast · Chec'!U39/'CheckoutGuard — Forecast · Chec'!U23,"")</f>
        <v>0.7543351724137932</v>
      </c>
      <c r="V43" s="18">
        <f>IFERROR('CheckoutGuard — Forecast · Chec'!V39/'CheckoutGuard — Forecast · Chec'!V23,"")</f>
        <v>0.7543351724137932</v>
      </c>
      <c r="W43" s="18">
        <f>IFERROR('CheckoutGuard — Forecast · Chec'!W39/'CheckoutGuard — Forecast · Chec'!W23,"")</f>
        <v>0.7543351724137931</v>
      </c>
      <c r="X43" s="18">
        <f>IFERROR('CheckoutGuard — Forecast · Chec'!X39/'CheckoutGuard — Forecast · Chec'!X23,"")</f>
        <v>0.754335172413793</v>
      </c>
      <c r="Y43" s="18">
        <f>IFERROR('CheckoutGuard — Forecast · Chec'!Y39/'CheckoutGuard — Forecast · Chec'!Y23,"")</f>
        <v>0.754335172413793</v>
      </c>
      <c r="Z43" s="18">
        <f>IFERROR('CheckoutGuard — Forecast · Chec'!Z39/'CheckoutGuard — Forecast · Chec'!Z23,"")</f>
        <v>0.7543351724137931</v>
      </c>
    </row>
    <row r="44" outlineLevel="1">
      <c r="A44" t="inlineStr" s="20">
        <is>
          <t xml:space="preserve">Team</t>
        </is>
      </c>
      <c r="B44" t="str" s="18">
        <f>IFERROR('CheckoutGuard — Forecast · Chec'!B40/'CheckoutGuard — Forecast · Chec'!B24,"")</f>
        <v/>
      </c>
      <c r="C44" s="18">
        <f>IFERROR('CheckoutGuard — Forecast · Chec'!C40/'CheckoutGuard — Forecast · Chec'!C24,"")</f>
        <v>0.7925111111111112</v>
      </c>
      <c r="D44" s="18">
        <f>IFERROR('CheckoutGuard — Forecast · Chec'!D40/'CheckoutGuard — Forecast · Chec'!D24,"")</f>
        <v>0.792511111111111</v>
      </c>
      <c r="E44" s="18">
        <f>IFERROR('CheckoutGuard — Forecast · Chec'!E40/'CheckoutGuard — Forecast · Chec'!E24,"")</f>
        <v>0.7925111111111109</v>
      </c>
      <c r="F44" s="18">
        <f>IFERROR('CheckoutGuard — Forecast · Chec'!F40/'CheckoutGuard — Forecast · Chec'!F24,"")</f>
        <v>0.7925111111111112</v>
      </c>
      <c r="G44" s="18">
        <f>IFERROR('CheckoutGuard — Forecast · Chec'!G40/'CheckoutGuard — Forecast · Chec'!G24,"")</f>
        <v>0.7925111111111112</v>
      </c>
      <c r="H44" s="18">
        <f>IFERROR('CheckoutGuard — Forecast · Chec'!H40/'CheckoutGuard — Forecast · Chec'!H24,"")</f>
        <v>0.7925111111111113</v>
      </c>
      <c r="I44" s="18">
        <f>IFERROR('CheckoutGuard — Forecast · Chec'!I40/'CheckoutGuard — Forecast · Chec'!I24,"")</f>
        <v>0.792511111111111</v>
      </c>
      <c r="J44" s="18">
        <f>IFERROR('CheckoutGuard — Forecast · Chec'!J40/'CheckoutGuard — Forecast · Chec'!J24,"")</f>
        <v>0.7925111111111113</v>
      </c>
      <c r="K44" s="18">
        <f>IFERROR('CheckoutGuard — Forecast · Chec'!K40/'CheckoutGuard — Forecast · Chec'!K24,"")</f>
        <v>0.792511111111111</v>
      </c>
      <c r="L44" s="18">
        <f>IFERROR('CheckoutGuard — Forecast · Chec'!L40/'CheckoutGuard — Forecast · Chec'!L24,"")</f>
        <v>0.7925111111111112</v>
      </c>
      <c r="M44" s="18">
        <f>IFERROR('CheckoutGuard — Forecast · Chec'!M40/'CheckoutGuard — Forecast · Chec'!M24,"")</f>
        <v>0.7925111111111112</v>
      </c>
      <c r="N44" s="18">
        <f>IFERROR('CheckoutGuard — Forecast · Chec'!N40/'CheckoutGuard — Forecast · Chec'!N24,"")</f>
        <v>0.7925111111111112</v>
      </c>
      <c r="O44" s="18">
        <f>IFERROR('CheckoutGuard — Forecast · Chec'!O40/'CheckoutGuard — Forecast · Chec'!O24,"")</f>
        <v>0.7925111111111112</v>
      </c>
      <c r="P44" s="18">
        <f>IFERROR('CheckoutGuard — Forecast · Chec'!P40/'CheckoutGuard — Forecast · Chec'!P24,"")</f>
        <v>0.7925111111111112</v>
      </c>
      <c r="Q44" s="18">
        <f>IFERROR('CheckoutGuard — Forecast · Chec'!Q40/'CheckoutGuard — Forecast · Chec'!Q24,"")</f>
        <v>0.792511111111111</v>
      </c>
      <c r="R44" s="18">
        <f>IFERROR('CheckoutGuard — Forecast · Chec'!R40/'CheckoutGuard — Forecast · Chec'!R24,"")</f>
        <v>0.7925111111111112</v>
      </c>
      <c r="S44" s="18">
        <f>IFERROR('CheckoutGuard — Forecast · Chec'!S40/'CheckoutGuard — Forecast · Chec'!S24,"")</f>
        <v>0.792511111111111</v>
      </c>
      <c r="T44" s="18">
        <f>IFERROR('CheckoutGuard — Forecast · Chec'!T40/'CheckoutGuard — Forecast · Chec'!T24,"")</f>
        <v>0.7925111111111112</v>
      </c>
      <c r="U44" s="18">
        <f>IFERROR('CheckoutGuard — Forecast · Chec'!U40/'CheckoutGuard — Forecast · Chec'!U24,"")</f>
        <v>0.7925111111111112</v>
      </c>
      <c r="V44" s="18">
        <f>IFERROR('CheckoutGuard — Forecast · Chec'!V40/'CheckoutGuard — Forecast · Chec'!V24,"")</f>
        <v>0.792511111111111</v>
      </c>
      <c r="W44" s="18">
        <f>IFERROR('CheckoutGuard — Forecast · Chec'!W40/'CheckoutGuard — Forecast · Chec'!W24,"")</f>
        <v>0.7925111111111112</v>
      </c>
      <c r="X44" s="18">
        <f>IFERROR('CheckoutGuard — Forecast · Chec'!X40/'CheckoutGuard — Forecast · Chec'!X24,"")</f>
        <v>0.792511111111111</v>
      </c>
      <c r="Y44" s="18">
        <f>IFERROR('CheckoutGuard — Forecast · Chec'!Y40/'CheckoutGuard — Forecast · Chec'!Y24,"")</f>
        <v>0.7925111111111109</v>
      </c>
      <c r="Z44" s="18">
        <f>IFERROR('CheckoutGuard — Forecast · Chec'!Z40/'CheckoutGuard — Forecast · Chec'!Z24,"")</f>
        <v>0.792511111111111</v>
      </c>
    </row>
    <row r="45">
      <c r="A45" t="inlineStr" s="8">
        <is>
          <t xml:space="preserve">Operating result</t>
        </is>
      </c>
      <c r="B45" s="14">
        <f>0</f>
        <v>0</v>
      </c>
      <c r="C45" s="14">
        <f>'CheckoutGuard — Forecast · Chec'!C37-'CheckoutGuard — Assumptions (2)'!B13</f>
        <v>-6479.00916</v>
      </c>
      <c r="D45" s="14">
        <f>'CheckoutGuard — Forecast · Chec'!D37-'CheckoutGuard — Assumptions (2)'!B13</f>
        <v>-6151.5985032</v>
      </c>
      <c r="E45" s="14">
        <f>'CheckoutGuard — Forecast · Chec'!E37-'CheckoutGuard — Assumptions (2)'!B13</f>
        <v>-5817.158147004</v>
      </c>
      <c r="F45" s="14">
        <f>'CheckoutGuard — Forecast · Chec'!F37-'CheckoutGuard — Assumptions (2)'!B13</f>
        <v>-5475.05638143888</v>
      </c>
      <c r="G45" s="14">
        <f>'CheckoutGuard — Forecast · Chec'!G37-'CheckoutGuard — Assumptions (2)'!B13</f>
        <v>-5124.638317782963</v>
      </c>
      <c r="H45" s="14">
        <f>'CheckoutGuard — Forecast · Chec'!H37-'CheckoutGuard — Assumptions (2)'!B13</f>
        <v>-4765.224477426087</v>
      </c>
      <c r="I45" s="14">
        <f>'CheckoutGuard — Forecast · Chec'!I37-'CheckoutGuard — Assumptions (2)'!B13</f>
        <v>-4396.109317738747</v>
      </c>
      <c r="J45" s="14">
        <f>'CheckoutGuard — Forecast · Chec'!J37-'CheckoutGuard — Assumptions (2)'!B13</f>
        <v>-4016.5596915737997</v>
      </c>
      <c r="K45" s="14">
        <f>'CheckoutGuard — Forecast · Chec'!K37-'CheckoutGuard — Assumptions (2)'!B13</f>
        <v>-3625.8132368621614</v>
      </c>
      <c r="L45" s="14">
        <f>'CheckoutGuard — Forecast · Chec'!L37-'CheckoutGuard — Assumptions (2)'!B13</f>
        <v>-3223.076692593651</v>
      </c>
      <c r="M45" s="14">
        <f>'CheckoutGuard — Forecast · Chec'!M37-'CheckoutGuard — Assumptions (2)'!B13</f>
        <v>-2807.5241372950636</v>
      </c>
      <c r="N45" s="14">
        <f>'CheckoutGuard — Forecast · Chec'!N37-'CheckoutGuard — Assumptions (2)'!B13</f>
        <v>-2378.2951459293945</v>
      </c>
      <c r="O45" s="14">
        <f>'CheckoutGuard — Forecast · Chec'!O37-'CheckoutGuard — Assumptions (2)'!B13</f>
        <v>-1934.492860942355</v>
      </c>
      <c r="P45" s="14">
        <f>'CheckoutGuard — Forecast · Chec'!P37-'CheckoutGuard — Assumptions (2)'!B13</f>
        <v>-1475.1819729744693</v>
      </c>
      <c r="Q45" s="14">
        <f>'CheckoutGuard — Forecast · Chec'!Q37-'CheckoutGuard — Assumptions (2)'!B13</f>
        <v>-999.3866065386392</v>
      </c>
      <c r="R45" s="14">
        <f>'CheckoutGuard — Forecast · Chec'!R37-'CheckoutGuard — Assumptions (2)'!B13</f>
        <v>-506.0881057335537</v>
      </c>
      <c r="S45" s="14">
        <f>'CheckoutGuard — Forecast · Chec'!S37-'CheckoutGuard — Assumptions (2)'!B13</f>
        <v>5.7772851778254335</v>
      </c>
      <c r="T45" s="14">
        <f>'CheckoutGuard — Forecast · Chec'!T37-'CheckoutGuard — Assumptions (2)'!B13</f>
        <v>537.3208517488329</v>
      </c>
      <c r="U45" s="14">
        <f>'CheckoutGuard — Forecast · Chec'!U37-'CheckoutGuard — Assumptions (2)'!B13</f>
        <v>1089.7039555790252</v>
      </c>
      <c r="V45" s="14">
        <f>'CheckoutGuard — Forecast · Chec'!V37-'CheckoutGuard — Assumptions (2)'!B13</f>
        <v>1664.140702763445</v>
      </c>
      <c r="W45" s="14">
        <f>'CheckoutGuard — Forecast · Chec'!W37-'CheckoutGuard — Assumptions (2)'!B13</f>
        <v>2261.9007408249236</v>
      </c>
      <c r="X45" s="14">
        <f>'CheckoutGuard — Forecast · Chec'!X37-'CheckoutGuard — Assumptions (2)'!B13</f>
        <v>2884.312190701774</v>
      </c>
      <c r="Y45" s="14">
        <f>'CheckoutGuard — Forecast · Chec'!Y37-'CheckoutGuard — Assumptions (2)'!B13</f>
        <v>3532.7647206874008</v>
      </c>
      <c r="Z45" s="14">
        <f>'CheckoutGuard — Forecast · Chec'!Z37-'CheckoutGuard — Assumptions (2)'!B13</f>
        <v>4208.7127695587915</v>
      </c>
    </row>
    <row r="46">
      <c r="A46" t="inlineStr" s="8">
        <is>
          <t xml:space="preserve">Break-even subscriptions</t>
        </is>
      </c>
      <c r="B46" t="str" s="21">
        <f>IFERROR(CEILING('CheckoutGuard — Assumptions (2)'!B13/('CheckoutGuard — Forecast · Chec'!B37/'CheckoutGuard — Forecast · Chec'!B17),1),"")</f>
        <v/>
      </c>
      <c r="C46" s="21">
        <f>IFERROR(CEILING('CheckoutGuard — Assumptions (2)'!B13/('CheckoutGuard — Forecast · Chec'!C37/'CheckoutGuard — Forecast · Chec'!C17),1),"")</f>
        <v>96</v>
      </c>
      <c r="D46" s="21">
        <f>IFERROR(CEILING('CheckoutGuard — Assumptions (2)'!B13/('CheckoutGuard — Forecast · Chec'!D37/'CheckoutGuard — Forecast · Chec'!D17),1),"")</f>
        <v>96</v>
      </c>
      <c r="E46" s="21">
        <f>IFERROR(CEILING('CheckoutGuard — Assumptions (2)'!B13/('CheckoutGuard — Forecast · Chec'!E37/'CheckoutGuard — Forecast · Chec'!E17),1),"")</f>
        <v>96</v>
      </c>
      <c r="F46" s="21">
        <f>IFERROR(CEILING('CheckoutGuard — Assumptions (2)'!B13/('CheckoutGuard — Forecast · Chec'!F37/'CheckoutGuard — Forecast · Chec'!F17),1),"")</f>
        <v>96</v>
      </c>
      <c r="G46" s="21">
        <f>IFERROR(CEILING('CheckoutGuard — Assumptions (2)'!B13/('CheckoutGuard — Forecast · Chec'!G37/'CheckoutGuard — Forecast · Chec'!G17),1),"")</f>
        <v>96</v>
      </c>
      <c r="H46" s="21">
        <f>IFERROR(CEILING('CheckoutGuard — Assumptions (2)'!B13/('CheckoutGuard — Forecast · Chec'!H37/'CheckoutGuard — Forecast · Chec'!H17),1),"")</f>
        <v>96</v>
      </c>
      <c r="I46" s="21">
        <f>IFERROR(CEILING('CheckoutGuard — Assumptions (2)'!B13/('CheckoutGuard — Forecast · Chec'!I37/'CheckoutGuard — Forecast · Chec'!I17),1),"")</f>
        <v>96</v>
      </c>
      <c r="J46" s="21">
        <f>IFERROR(CEILING('CheckoutGuard — Assumptions (2)'!B13/('CheckoutGuard — Forecast · Chec'!J37/'CheckoutGuard — Forecast · Chec'!J17),1),"")</f>
        <v>96</v>
      </c>
      <c r="K46" s="21">
        <f>IFERROR(CEILING('CheckoutGuard — Assumptions (2)'!B13/('CheckoutGuard — Forecast · Chec'!K37/'CheckoutGuard — Forecast · Chec'!K17),1),"")</f>
        <v>96</v>
      </c>
      <c r="L46" s="21">
        <f>IFERROR(CEILING('CheckoutGuard — Assumptions (2)'!B13/('CheckoutGuard — Forecast · Chec'!L37/'CheckoutGuard — Forecast · Chec'!L17),1),"")</f>
        <v>96</v>
      </c>
      <c r="M46" s="21">
        <f>IFERROR(CEILING('CheckoutGuard — Assumptions (2)'!B13/('CheckoutGuard — Forecast · Chec'!M37/'CheckoutGuard — Forecast · Chec'!M17),1),"")</f>
        <v>96</v>
      </c>
      <c r="N46" s="21">
        <f>IFERROR(CEILING('CheckoutGuard — Assumptions (2)'!B13/('CheckoutGuard — Forecast · Chec'!N37/'CheckoutGuard — Forecast · Chec'!N17),1),"")</f>
        <v>96</v>
      </c>
      <c r="O46" s="21">
        <f>IFERROR(CEILING('CheckoutGuard — Assumptions (2)'!B13/('CheckoutGuard — Forecast · Chec'!O37/'CheckoutGuard — Forecast · Chec'!O17),1),"")</f>
        <v>96</v>
      </c>
      <c r="P46" s="21">
        <f>IFERROR(CEILING('CheckoutGuard — Assumptions (2)'!B13/('CheckoutGuard — Forecast · Chec'!P37/'CheckoutGuard — Forecast · Chec'!P17),1),"")</f>
        <v>96</v>
      </c>
      <c r="Q46" s="21">
        <f>IFERROR(CEILING('CheckoutGuard — Assumptions (2)'!B13/('CheckoutGuard — Forecast · Chec'!Q37/'CheckoutGuard — Forecast · Chec'!Q17),1),"")</f>
        <v>96</v>
      </c>
      <c r="R46" s="21">
        <f>IFERROR(CEILING('CheckoutGuard — Assumptions (2)'!B13/('CheckoutGuard — Forecast · Chec'!R37/'CheckoutGuard — Forecast · Chec'!R17),1),"")</f>
        <v>96</v>
      </c>
      <c r="S46" s="21">
        <f>IFERROR(CEILING('CheckoutGuard — Assumptions (2)'!B13/('CheckoutGuard — Forecast · Chec'!S37/'CheckoutGuard — Forecast · Chec'!S17),1),"")</f>
        <v>96</v>
      </c>
      <c r="T46" s="21">
        <f>IFERROR(CEILING('CheckoutGuard — Assumptions (2)'!B13/('CheckoutGuard — Forecast · Chec'!T37/'CheckoutGuard — Forecast · Chec'!T17),1),"")</f>
        <v>96</v>
      </c>
      <c r="U46" s="21">
        <f>IFERROR(CEILING('CheckoutGuard — Assumptions (2)'!B13/('CheckoutGuard — Forecast · Chec'!U37/'CheckoutGuard — Forecast · Chec'!U17),1),"")</f>
        <v>96</v>
      </c>
      <c r="V46" s="21">
        <f>IFERROR(CEILING('CheckoutGuard — Assumptions (2)'!B13/('CheckoutGuard — Forecast · Chec'!V37/'CheckoutGuard — Forecast · Chec'!V17),1),"")</f>
        <v>96</v>
      </c>
      <c r="W46" s="21">
        <f>IFERROR(CEILING('CheckoutGuard — Assumptions (2)'!B13/('CheckoutGuard — Forecast · Chec'!W37/'CheckoutGuard — Forecast · Chec'!W17),1),"")</f>
        <v>96</v>
      </c>
      <c r="X46" s="21">
        <f>IFERROR(CEILING('CheckoutGuard — Assumptions (2)'!B13/('CheckoutGuard — Forecast · Chec'!X37/'CheckoutGuard — Forecast · Chec'!X17),1),"")</f>
        <v>96</v>
      </c>
      <c r="Y46" s="21">
        <f>IFERROR(CEILING('CheckoutGuard — Assumptions (2)'!B13/('CheckoutGuard — Forecast · Chec'!Y37/'CheckoutGuard — Forecast · Chec'!Y17),1),"")</f>
        <v>96</v>
      </c>
      <c r="Z46" s="21">
        <f>IFERROR(CEILING('CheckoutGuard — Assumptions (2)'!B13/('CheckoutGuard — Forecast · Chec'!Z37/'CheckoutGuard — Forecast · Chec'!Z17),1),"")</f>
        <v>96</v>
      </c>
    </row>
    <row r="47">
      <c r="A47" t="inlineStr" s="8">
        <is>
          <t xml:space="preserve">Break-even revenue</t>
        </is>
      </c>
      <c r="B47" t="str" s="14">
        <f>IFERROR(IF('CheckoutGuard — Forecast · Chec'!B46="",0,'CheckoutGuard — Forecast · Chec'!B46)*'CheckoutGuard — Forecast · Chec'!B21/'CheckoutGuard — Forecast · Chec'!B17,"")</f>
        <v/>
      </c>
      <c r="C47" s="14">
        <f>IFERROR('CheckoutGuard — Forecast · Chec'!C46*'CheckoutGuard — Forecast · Chec'!C21/'CheckoutGuard — Forecast · Chec'!C17,"")</f>
        <v>8650.666666666666</v>
      </c>
      <c r="D47" s="14">
        <f>IFERROR('CheckoutGuard — Forecast · Chec'!D46*'CheckoutGuard — Forecast · Chec'!D21/'CheckoutGuard — Forecast · Chec'!D17,"")</f>
        <v>8650.666666666666</v>
      </c>
      <c r="E47" s="14">
        <f>IFERROR('CheckoutGuard — Forecast · Chec'!E46*'CheckoutGuard — Forecast · Chec'!E21/'CheckoutGuard — Forecast · Chec'!E17,"")</f>
        <v>8650.666666666666</v>
      </c>
      <c r="F47" s="14">
        <f>IFERROR('CheckoutGuard — Forecast · Chec'!F46*'CheckoutGuard — Forecast · Chec'!F21/'CheckoutGuard — Forecast · Chec'!F17,"")</f>
        <v>8650.666666666668</v>
      </c>
      <c r="G47" s="14">
        <f>IFERROR('CheckoutGuard — Forecast · Chec'!G46*'CheckoutGuard — Forecast · Chec'!G21/'CheckoutGuard — Forecast · Chec'!G17,"")</f>
        <v>8650.666666666668</v>
      </c>
      <c r="H47" s="14">
        <f>IFERROR('CheckoutGuard — Forecast · Chec'!H46*'CheckoutGuard — Forecast · Chec'!H21/'CheckoutGuard — Forecast · Chec'!H17,"")</f>
        <v>8650.666666666668</v>
      </c>
      <c r="I47" s="14">
        <f>IFERROR('CheckoutGuard — Forecast · Chec'!I46*'CheckoutGuard — Forecast · Chec'!I21/'CheckoutGuard — Forecast · Chec'!I17,"")</f>
        <v>8650.666666666668</v>
      </c>
      <c r="J47" s="14">
        <f>IFERROR('CheckoutGuard — Forecast · Chec'!J46*'CheckoutGuard — Forecast · Chec'!J21/'CheckoutGuard — Forecast · Chec'!J17,"")</f>
        <v>8650.666666666666</v>
      </c>
      <c r="K47" s="14">
        <f>IFERROR('CheckoutGuard — Forecast · Chec'!K46*'CheckoutGuard — Forecast · Chec'!K21/'CheckoutGuard — Forecast · Chec'!K17,"")</f>
        <v>8650.666666666666</v>
      </c>
      <c r="L47" s="14">
        <f>IFERROR('CheckoutGuard — Forecast · Chec'!L46*'CheckoutGuard — Forecast · Chec'!L21/'CheckoutGuard — Forecast · Chec'!L17,"")</f>
        <v>8650.666666666666</v>
      </c>
      <c r="M47" s="14">
        <f>IFERROR('CheckoutGuard — Forecast · Chec'!M46*'CheckoutGuard — Forecast · Chec'!M21/'CheckoutGuard — Forecast · Chec'!M17,"")</f>
        <v>8650.666666666666</v>
      </c>
      <c r="N47" s="14">
        <f>IFERROR('CheckoutGuard — Forecast · Chec'!N46*'CheckoutGuard — Forecast · Chec'!N21/'CheckoutGuard — Forecast · Chec'!N17,"")</f>
        <v>8650.666666666668</v>
      </c>
      <c r="O47" s="14">
        <f>IFERROR('CheckoutGuard — Forecast · Chec'!O46*'CheckoutGuard — Forecast · Chec'!O21/'CheckoutGuard — Forecast · Chec'!O17,"")</f>
        <v>8650.666666666668</v>
      </c>
      <c r="P47" s="14">
        <f>IFERROR('CheckoutGuard — Forecast · Chec'!P46*'CheckoutGuard — Forecast · Chec'!P21/'CheckoutGuard — Forecast · Chec'!P17,"")</f>
        <v>8650.666666666666</v>
      </c>
      <c r="Q47" s="14">
        <f>IFERROR('CheckoutGuard — Forecast · Chec'!Q46*'CheckoutGuard — Forecast · Chec'!Q21/'CheckoutGuard — Forecast · Chec'!Q17,"")</f>
        <v>8650.666666666668</v>
      </c>
      <c r="R47" s="14">
        <f>IFERROR('CheckoutGuard — Forecast · Chec'!R46*'CheckoutGuard — Forecast · Chec'!R21/'CheckoutGuard — Forecast · Chec'!R17,"")</f>
        <v>8650.666666666666</v>
      </c>
      <c r="S47" s="14">
        <f>IFERROR('CheckoutGuard — Forecast · Chec'!S46*'CheckoutGuard — Forecast · Chec'!S21/'CheckoutGuard — Forecast · Chec'!S17,"")</f>
        <v>8650.666666666666</v>
      </c>
      <c r="T47" s="14">
        <f>IFERROR('CheckoutGuard — Forecast · Chec'!T46*'CheckoutGuard — Forecast · Chec'!T21/'CheckoutGuard — Forecast · Chec'!T17,"")</f>
        <v>8650.666666666666</v>
      </c>
      <c r="U47" s="14">
        <f>IFERROR('CheckoutGuard — Forecast · Chec'!U46*'CheckoutGuard — Forecast · Chec'!U21/'CheckoutGuard — Forecast · Chec'!U17,"")</f>
        <v>8650.666666666668</v>
      </c>
      <c r="V47" s="14">
        <f>IFERROR('CheckoutGuard — Forecast · Chec'!V46*'CheckoutGuard — Forecast · Chec'!V21/'CheckoutGuard — Forecast · Chec'!V17,"")</f>
        <v>8650.666666666666</v>
      </c>
      <c r="W47" s="14">
        <f>IFERROR('CheckoutGuard — Forecast · Chec'!W46*'CheckoutGuard — Forecast · Chec'!W21/'CheckoutGuard — Forecast · Chec'!W17,"")</f>
        <v>8650.666666666668</v>
      </c>
      <c r="X47" s="14">
        <f>IFERROR('CheckoutGuard — Forecast · Chec'!X46*'CheckoutGuard — Forecast · Chec'!X21/'CheckoutGuard — Forecast · Chec'!X17,"")</f>
        <v>8650.666666666666</v>
      </c>
      <c r="Y47" s="14">
        <f>IFERROR('CheckoutGuard — Forecast · Chec'!Y46*'CheckoutGuard — Forecast · Chec'!Y21/'CheckoutGuard — Forecast · Chec'!Y17,"")</f>
        <v>8650.666666666666</v>
      </c>
      <c r="Z47" s="14">
        <f>IFERROR('CheckoutGuard — Forecast · Chec'!Z46*'CheckoutGuard — Forecast · Chec'!Z21/'CheckoutGuard — Forecast · Chec'!Z17,"")</f>
        <v>8650.666666666666</v>
      </c>
    </row>
    <row r="48">
      <c r="A48" t="inlineStr" s="8">
        <is>
          <t xml:space="preserve">Monthly funding gap</t>
        </is>
      </c>
      <c r="B48" s="14">
        <f>MAX(-'CheckoutGuard — Forecast · Chec'!B45,0)</f>
        <v>0</v>
      </c>
      <c r="C48" s="14">
        <f>MAX(-'CheckoutGuard — Forecast · Chec'!C45,0)</f>
        <v>6479.00916</v>
      </c>
      <c r="D48" s="14">
        <f>MAX(-'CheckoutGuard — Forecast · Chec'!D45,0)</f>
        <v>6151.5985032</v>
      </c>
      <c r="E48" s="14">
        <f>MAX(-'CheckoutGuard — Forecast · Chec'!E45,0)</f>
        <v>5817.158147004</v>
      </c>
      <c r="F48" s="14">
        <f>MAX(-'CheckoutGuard — Forecast · Chec'!F45,0)</f>
        <v>5475.05638143888</v>
      </c>
      <c r="G48" s="14">
        <f>MAX(-'CheckoutGuard — Forecast · Chec'!G45,0)</f>
        <v>5124.638317782963</v>
      </c>
      <c r="H48" s="14">
        <f>MAX(-'CheckoutGuard — Forecast · Chec'!H45,0)</f>
        <v>4765.224477426087</v>
      </c>
      <c r="I48" s="14">
        <f>MAX(-'CheckoutGuard — Forecast · Chec'!I45,0)</f>
        <v>4396.109317738747</v>
      </c>
      <c r="J48" s="14">
        <f>MAX(-'CheckoutGuard — Forecast · Chec'!J45,0)</f>
        <v>4016.5596915737997</v>
      </c>
      <c r="K48" s="14">
        <f>MAX(-'CheckoutGuard — Forecast · Chec'!K45,0)</f>
        <v>3625.8132368621614</v>
      </c>
      <c r="L48" s="14">
        <f>MAX(-'CheckoutGuard — Forecast · Chec'!L45,0)</f>
        <v>3223.076692593651</v>
      </c>
      <c r="M48" s="14">
        <f>MAX(-'CheckoutGuard — Forecast · Chec'!M45,0)</f>
        <v>2807.5241372950636</v>
      </c>
      <c r="N48" s="14">
        <f>MAX(-'CheckoutGuard — Forecast · Chec'!N45,0)</f>
        <v>2378.2951459293945</v>
      </c>
      <c r="O48" s="14">
        <f>MAX(-'CheckoutGuard — Forecast · Chec'!O45,0)</f>
        <v>1934.492860942355</v>
      </c>
      <c r="P48" s="14">
        <f>MAX(-'CheckoutGuard — Forecast · Chec'!P45,0)</f>
        <v>1475.1819729744693</v>
      </c>
      <c r="Q48" s="14">
        <f>MAX(-'CheckoutGuard — Forecast · Chec'!Q45,0)</f>
        <v>999.3866065386392</v>
      </c>
      <c r="R48" s="14">
        <f>MAX(-'CheckoutGuard — Forecast · Chec'!R45,0)</f>
        <v>506.0881057335537</v>
      </c>
      <c r="S48" s="14">
        <f>MAX(-'CheckoutGuard — Forecast · Chec'!S45,0)</f>
        <v>0</v>
      </c>
      <c r="T48" s="14">
        <f>MAX(-'CheckoutGuard — Forecast · Chec'!T45,0)</f>
        <v>0</v>
      </c>
      <c r="U48" s="14">
        <f>MAX(-'CheckoutGuard — Forecast · Chec'!U45,0)</f>
        <v>0</v>
      </c>
      <c r="V48" s="14">
        <f>MAX(-'CheckoutGuard — Forecast · Chec'!V45,0)</f>
        <v>0</v>
      </c>
      <c r="W48" s="14">
        <f>MAX(-'CheckoutGuard — Forecast · Chec'!W45,0)</f>
        <v>0</v>
      </c>
      <c r="X48" s="14">
        <f>MAX(-'CheckoutGuard — Forecast · Chec'!X45,0)</f>
        <v>0</v>
      </c>
      <c r="Y48" s="14">
        <f>MAX(-'CheckoutGuard — Forecast · Chec'!Y45,0)</f>
        <v>0</v>
      </c>
      <c r="Z48" s="14">
        <f>MAX(-'CheckoutGuard — Forecast · Chec'!Z45,0)</f>
        <v>0</v>
      </c>
    </row>
    <row r="49">
      <c r="A49" t="inlineStr" s="5">
        <is>
          <t xml:space="preserve">Cumulative operating result</t>
        </is>
      </c>
      <c r="B49" s="11">
        <f>0</f>
        <v>0</v>
      </c>
      <c r="C49" s="11">
        <f>'CheckoutGuard — Forecast · Chec'!B49+'CheckoutGuard — Forecast · Chec'!C45</f>
        <v>-6479.00916</v>
      </c>
      <c r="D49" s="11">
        <f>'CheckoutGuard — Forecast · Chec'!C49+'CheckoutGuard — Forecast · Chec'!D45</f>
        <v>-12630.6076632</v>
      </c>
      <c r="E49" s="11">
        <f>'CheckoutGuard — Forecast · Chec'!D49+'CheckoutGuard — Forecast · Chec'!E45</f>
        <v>-18447.765810204</v>
      </c>
      <c r="F49" s="11">
        <f>'CheckoutGuard — Forecast · Chec'!E49+'CheckoutGuard — Forecast · Chec'!F45</f>
        <v>-23922.82219164288</v>
      </c>
      <c r="G49" s="11">
        <f>'CheckoutGuard — Forecast · Chec'!F49+'CheckoutGuard — Forecast · Chec'!G45</f>
        <v>-29047.460509425844</v>
      </c>
      <c r="H49" s="11">
        <f>'CheckoutGuard — Forecast · Chec'!G49+'CheckoutGuard — Forecast · Chec'!H45</f>
        <v>-33812.684986851935</v>
      </c>
      <c r="I49" s="11">
        <f>'CheckoutGuard — Forecast · Chec'!H49+'CheckoutGuard — Forecast · Chec'!I45</f>
        <v>-38208.79430459068</v>
      </c>
      <c r="J49" s="11">
        <f>'CheckoutGuard — Forecast · Chec'!I49+'CheckoutGuard — Forecast · Chec'!J45</f>
        <v>-42225.35399616448</v>
      </c>
      <c r="K49" s="11">
        <f>'CheckoutGuard — Forecast · Chec'!J49+'CheckoutGuard — Forecast · Chec'!K45</f>
        <v>-45851.16723302664</v>
      </c>
      <c r="L49" s="11">
        <f>'CheckoutGuard — Forecast · Chec'!K49+'CheckoutGuard — Forecast · Chec'!L45</f>
        <v>-49074.243925620285</v>
      </c>
      <c r="M49" s="11">
        <f>'CheckoutGuard — Forecast · Chec'!L49+'CheckoutGuard — Forecast · Chec'!M45</f>
        <v>-51881.76806291535</v>
      </c>
      <c r="N49" s="11">
        <f>'CheckoutGuard — Forecast · Chec'!M49+'CheckoutGuard — Forecast · Chec'!N45</f>
        <v>-54260.063208844746</v>
      </c>
      <c r="O49" s="11">
        <f>'CheckoutGuard — Forecast · Chec'!N49+'CheckoutGuard — Forecast · Chec'!O45</f>
        <v>-56194.5560697871</v>
      </c>
      <c r="P49" s="11">
        <f>'CheckoutGuard — Forecast · Chec'!O49+'CheckoutGuard — Forecast · Chec'!P45</f>
        <v>-57669.738042761564</v>
      </c>
      <c r="Q49" s="11">
        <f>'CheckoutGuard — Forecast · Chec'!P49+'CheckoutGuard — Forecast · Chec'!Q45</f>
        <v>-58669.1246493002</v>
      </c>
      <c r="R49" s="11">
        <f>'CheckoutGuard — Forecast · Chec'!Q49+'CheckoutGuard — Forecast · Chec'!R45</f>
        <v>-59175.21275503376</v>
      </c>
      <c r="S49" s="11">
        <f>'CheckoutGuard — Forecast · Chec'!R49+'CheckoutGuard — Forecast · Chec'!S45</f>
        <v>-59169.43546985593</v>
      </c>
      <c r="T49" s="11">
        <f>'CheckoutGuard — Forecast · Chec'!S49+'CheckoutGuard — Forecast · Chec'!T45</f>
        <v>-58632.1146181071</v>
      </c>
      <c r="U49" s="11">
        <f>'CheckoutGuard — Forecast · Chec'!T49+'CheckoutGuard — Forecast · Chec'!U45</f>
        <v>-57542.41066252808</v>
      </c>
      <c r="V49" s="11">
        <f>'CheckoutGuard — Forecast · Chec'!U49+'CheckoutGuard — Forecast · Chec'!V45</f>
        <v>-55878.26995976463</v>
      </c>
      <c r="W49" s="11">
        <f>'CheckoutGuard — Forecast · Chec'!V49+'CheckoutGuard — Forecast · Chec'!W45</f>
        <v>-53616.369218939704</v>
      </c>
      <c r="X49" s="11">
        <f>'CheckoutGuard — Forecast · Chec'!W49+'CheckoutGuard — Forecast · Chec'!X45</f>
        <v>-50732.057028237934</v>
      </c>
      <c r="Y49" s="11">
        <f>'CheckoutGuard — Forecast · Chec'!X49+'CheckoutGuard — Forecast · Chec'!Y45</f>
        <v>-47199.29230755053</v>
      </c>
      <c r="Z49" s="11">
        <f>'CheckoutGuard — Forecast · Chec'!Y49+'CheckoutGuard — Forecast · Chec'!Z45</f>
        <v>-42990.57953799174</v>
      </c>
    </row>
  </sheetData>
  <mergeCells count="1">
    <mergeCell ref="A1:Z1"/>
  </mergeCells>
</worksheet>
</file>

<file path=xl/worksheets/sheet9.xml><?xml version="1.0" encoding="utf-8"?>
<worksheet xmlns="http://schemas.openxmlformats.org/spreadsheetml/2006/main">
  <dimension ref="A1:Z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</cols>
  <sheetData>
    <row r="1" ht="32" customHeight="1">
      <c r="A1" t="inlineStr" s="1">
        <is>
          <t xml:space="preserve">CheckoutGuard — Forecast · Payment cost estimates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17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7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7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7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7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  <c r="Q4" t="inlineStr" s="17">
        <is>
          <t xml:space="preserve">2028-01</t>
        </is>
      </c>
      <c r="R4" t="inlineStr" s="4">
        <is>
          <t xml:space="preserve">2028-02</t>
        </is>
      </c>
      <c r="S4" t="inlineStr" s="4">
        <is>
          <t xml:space="preserve">2028-03</t>
        </is>
      </c>
      <c r="T4" t="inlineStr" s="17">
        <is>
          <t xml:space="preserve">2028-04</t>
        </is>
      </c>
      <c r="U4" t="inlineStr" s="4">
        <is>
          <t xml:space="preserve">2028-05</t>
        </is>
      </c>
      <c r="V4" t="inlineStr" s="4">
        <is>
          <t xml:space="preserve">2028-06</t>
        </is>
      </c>
      <c r="W4" t="inlineStr" s="17">
        <is>
          <t xml:space="preserve">2028-07</t>
        </is>
      </c>
      <c r="X4" t="inlineStr" s="4">
        <is>
          <t xml:space="preserve">2028-08</t>
        </is>
      </c>
      <c r="Y4" t="inlineStr" s="4">
        <is>
          <t xml:space="preserve">2028-09</t>
        </is>
      </c>
      <c r="Z4" t="inlineStr" s="17">
        <is>
          <t xml:space="preserve">2028-10</t>
        </is>
      </c>
    </row>
    <row r="5">
      <c r="A5" t="inlineStr" s="5">
        <is>
          <t xml:space="preserve">Payment processing costs</t>
        </is>
      </c>
      <c r="B5" s="11">
        <f>SUM('CheckoutGuard — Forecast · Paym'!B6,'CheckoutGuard — Forecast · Paym'!B7,'CheckoutGuard — Forecast · Paym'!B8)</f>
        <v>0</v>
      </c>
      <c r="C5" s="11">
        <f>SUM('CheckoutGuard — Forecast · Paym'!C6,'CheckoutGuard — Forecast · Paym'!C7,'CheckoutGuard — Forecast · Paym'!C8)</f>
        <v>13.514999999999999</v>
      </c>
      <c r="D5" s="11">
        <f>SUM('CheckoutGuard — Forecast · Paym'!D6,'CheckoutGuard — Forecast · Paym'!D7,'CheckoutGuard — Forecast · Paym'!D8)</f>
        <v>27.3003</v>
      </c>
      <c r="E5" s="11">
        <f>SUM('CheckoutGuard — Forecast · Paym'!E6,'CheckoutGuard — Forecast · Paym'!E7,'CheckoutGuard — Forecast · Paym'!E8)</f>
        <v>41.3815785</v>
      </c>
      <c r="F5" s="11">
        <f>SUM('CheckoutGuard — Forecast · Paym'!F6,'CheckoutGuard — Forecast · Paym'!F7,'CheckoutGuard — Forecast · Paym'!F8)</f>
        <v>55.78543302</v>
      </c>
      <c r="G5" s="11">
        <f>SUM('CheckoutGuard — Forecast · Paym'!G6,'CheckoutGuard — Forecast · Paym'!G7,'CheckoutGuard — Forecast · Paym'!G8)</f>
        <v>70.53943699815001</v>
      </c>
      <c r="H5" s="11">
        <f>SUM('CheckoutGuard — Forecast · Paym'!H6,'CheckoutGuard — Forecast · Paym'!H7,'CheckoutGuard — Forecast · Paym'!H8)</f>
        <v>85.67219920539301</v>
      </c>
      <c r="I5" s="11">
        <f>SUM('CheckoutGuard — Forecast · Paym'!I6,'CheckoutGuard — Forecast · Paym'!I7,'CheckoutGuard — Forecast · Paym'!I8)</f>
        <v>101.2134258122781</v>
      </c>
      <c r="J5" s="11">
        <f>SUM('CheckoutGuard — Forecast · Paym'!J6,'CheckoutGuard — Forecast · Paym'!J7,'CheckoutGuard — Forecast · Paym'!J8)</f>
        <v>117.193985250109</v>
      </c>
      <c r="K5" s="11">
        <f>SUM('CheckoutGuard — Forecast · Paym'!K6,'CheckoutGuard — Forecast · Paym'!K7,'CheckoutGuard — Forecast · Paym'!K8)</f>
        <v>133.64597601541493</v>
      </c>
      <c r="L5" s="11">
        <f>SUM('CheckoutGuard — Forecast · Paym'!L6,'CheckoutGuard — Forecast · Paym'!L7,'CheckoutGuard — Forecast · Paym'!L8)</f>
        <v>150.60279757390214</v>
      </c>
      <c r="M5" s="11">
        <f>SUM('CheckoutGuard — Forecast · Paym'!M6,'CheckoutGuard — Forecast · Paym'!M7,'CheckoutGuard — Forecast · Paym'!M8)</f>
        <v>168.0992245275822</v>
      </c>
      <c r="N5" s="11">
        <f>SUM('CheckoutGuard — Forecast · Paym'!N6,'CheckoutGuard — Forecast · Paym'!N7,'CheckoutGuard — Forecast · Paym'!N8)</f>
        <v>186.17148421669674</v>
      </c>
      <c r="O5" s="11">
        <f>SUM('CheckoutGuard — Forecast · Paym'!O6,'CheckoutGuard — Forecast · Paym'!O7,'CheckoutGuard — Forecast · Paym'!O8)</f>
        <v>204.8573379363849</v>
      </c>
      <c r="P5" s="11">
        <f>SUM('CheckoutGuard — Forecast · Paym'!P6,'CheckoutGuard — Forecast · Paym'!P7,'CheckoutGuard — Forecast · Paym'!P8)</f>
        <v>224.1961659567919</v>
      </c>
      <c r="Q5" s="11">
        <f>SUM('CheckoutGuard — Forecast · Paym'!Q6,'CheckoutGuard — Forecast · Paym'!Q7,'CheckoutGuard — Forecast · Paym'!Q8)</f>
        <v>244.22905654451165</v>
      </c>
      <c r="R5" s="11">
        <f>SUM('CheckoutGuard — Forecast · Paym'!R6,'CheckoutGuard — Forecast · Paym'!R7,'CheckoutGuard — Forecast · Paym'!R8)</f>
        <v>264.99889919292093</v>
      </c>
      <c r="S5" s="11">
        <f>SUM('CheckoutGuard — Forecast · Paym'!S6,'CheckoutGuard — Forecast · Paym'!S7,'CheckoutGuard — Forecast · Paym'!S8)</f>
        <v>286.5504822791152</v>
      </c>
      <c r="T5" s="11">
        <f>SUM('CheckoutGuard — Forecast · Paym'!T6,'CheckoutGuard — Forecast · Paym'!T7,'CheckoutGuard — Forecast · Paym'!T8)</f>
        <v>308.93059537582275</v>
      </c>
      <c r="U5" s="11">
        <f>SUM('CheckoutGuard — Forecast · Paym'!U6,'CheckoutGuard — Forecast · Paym'!U7,'CheckoutGuard — Forecast · Paym'!U8)</f>
        <v>332.1881364578831</v>
      </c>
      <c r="V5" s="11">
        <f>SUM('CheckoutGuard — Forecast · Paym'!V6,'CheckoutGuard — Forecast · Paym'!V7,'CheckoutGuard — Forecast · Paym'!V8)</f>
        <v>356.37422425464837</v>
      </c>
      <c r="W5" s="11">
        <f>SUM('CheckoutGuard — Forecast · Paym'!W6,'CheckoutGuard — Forecast · Paym'!W7,'CheckoutGuard — Forecast · Paym'!W8)</f>
        <v>381.5423160120358</v>
      </c>
      <c r="X5" s="11">
        <f>SUM('CheckoutGuard — Forecast · Paym'!X6,'CheckoutGuard — Forecast · Paym'!X7,'CheckoutGuard — Forecast · Paym'!X8)</f>
        <v>407.74833094095294</v>
      </c>
      <c r="Y5" s="11">
        <f>SUM('CheckoutGuard — Forecast · Paym'!Y6,'CheckoutGuard — Forecast · Paym'!Y7,'CheckoutGuard — Forecast · Paym'!Y8)</f>
        <v>435.0507796424665</v>
      </c>
      <c r="Z5" s="11">
        <f>SUM('CheckoutGuard — Forecast · Paym'!Z6,'CheckoutGuard — Forecast · Paym'!Z7,'CheckoutGuard — Forecast · Paym'!Z8)</f>
        <v>463.5108998144217</v>
      </c>
    </row>
    <row r="6" outlineLevel="1">
      <c r="A6" t="inlineStr" s="20">
        <is>
          <t xml:space="preserve">Agency</t>
        </is>
      </c>
      <c r="B6" s="14">
        <f>'CheckoutGuard — Forecast · Chec'!B22*'CheckoutGuard — Assumptions · S'!B5+'CheckoutGuard — Forecast · Chec'!B18*'CheckoutGuard — Assumptions · S'!B6</f>
        <v>0</v>
      </c>
      <c r="C6" s="14">
        <f>'CheckoutGuard — Forecast · Chec'!C22*'CheckoutGuard — Assumptions · S'!B5+'CheckoutGuard — Forecast · Chec'!C18*'CheckoutGuard — Assumptions · S'!B6</f>
        <v>4.635</v>
      </c>
      <c r="D6" s="14">
        <f>'CheckoutGuard — Forecast · Chec'!D22*'CheckoutGuard — Assumptions · S'!B5+'CheckoutGuard — Forecast · Chec'!D18*'CheckoutGuard — Assumptions · S'!B6</f>
        <v>9.3627</v>
      </c>
      <c r="E6" s="14">
        <f>'CheckoutGuard — Forecast · Chec'!E22*'CheckoutGuard — Assumptions · S'!B5+'CheckoutGuard — Forecast · Chec'!E18*'CheckoutGuard — Assumptions · S'!B6</f>
        <v>14.1919065</v>
      </c>
      <c r="F6" s="14">
        <f>'CheckoutGuard — Forecast · Chec'!F22*'CheckoutGuard — Assumptions · S'!B5+'CheckoutGuard — Forecast · Chec'!F18*'CheckoutGuard — Assumptions · S'!B6</f>
        <v>19.13174118</v>
      </c>
      <c r="G6" s="14">
        <f>'CheckoutGuard — Forecast · Chec'!G22*'CheckoutGuard — Assumptions · S'!B5+'CheckoutGuard — Forecast · Chec'!G18*'CheckoutGuard — Assumptions · S'!B6</f>
        <v>24.191660413350004</v>
      </c>
      <c r="H6" s="14">
        <f>'CheckoutGuard — Forecast · Chec'!H22*'CheckoutGuard — Assumptions · S'!B5+'CheckoutGuard — Forecast · Chec'!H18*'CheckoutGuard — Assumptions · S'!B6</f>
        <v>29.381475643137</v>
      </c>
      <c r="I6" s="14">
        <f>'CheckoutGuard — Forecast · Chec'!I22*'CheckoutGuard — Assumptions · S'!B5+'CheckoutGuard — Forecast · Chec'!I18*'CheckoutGuard — Assumptions · S'!B6</f>
        <v>34.71137466813977</v>
      </c>
      <c r="J6" s="14">
        <f>'CheckoutGuard — Forecast · Chec'!J22*'CheckoutGuard — Assumptions · S'!B5+'CheckoutGuard — Forecast · Chec'!J18*'CheckoutGuard — Assumptions · S'!B6</f>
        <v>40.19194388710731</v>
      </c>
      <c r="K6" s="14">
        <f>'CheckoutGuard — Forecast · Chec'!K22*'CheckoutGuard — Assumptions · S'!B5+'CheckoutGuard — Forecast · Chec'!K18*'CheckoutGuard — Assumptions · S'!B6</f>
        <v>45.834191552456396</v>
      </c>
      <c r="L6" s="14">
        <f>'CheckoutGuard — Forecast · Chec'!L22*'CheckoutGuard — Assumptions · S'!B5+'CheckoutGuard — Forecast · Chec'!L18*'CheckoutGuard — Assumptions · S'!B6</f>
        <v>51.64957208694313</v>
      </c>
      <c r="M6" s="14">
        <f>'CheckoutGuard — Forecast · Chec'!M22*'CheckoutGuard — Assumptions · S'!B5+'CheckoutGuard — Forecast · Chec'!M18*'CheckoutGuard — Assumptions · S'!B6</f>
        <v>57.65001151944828</v>
      </c>
      <c r="N6" s="14">
        <f>'CheckoutGuard — Forecast · Chec'!N22*'CheckoutGuard — Assumptions · S'!B5+'CheckoutGuard — Forecast · Chec'!N18*'CheckoutGuard — Assumptions · S'!B6</f>
        <v>63.84793409873396</v>
      </c>
      <c r="O6" s="14">
        <f>'CheckoutGuard — Forecast · Chec'!O22*'CheckoutGuard — Assumptions · S'!B5+'CheckoutGuard — Forecast · Chec'!O18*'CheckoutGuard — Assumptions · S'!B6</f>
        <v>70.25629014688451</v>
      </c>
      <c r="P6" s="14">
        <f>'CheckoutGuard — Forecast · Chec'!P22*'CheckoutGuard — Assumptions · S'!B5+'CheckoutGuard — Forecast · Chec'!P18*'CheckoutGuard — Assumptions · S'!B6</f>
        <v>76.88858521714617</v>
      </c>
      <c r="Q6" s="14">
        <f>'CheckoutGuard — Forecast · Chec'!Q22*'CheckoutGuard — Assumptions · S'!B5+'CheckoutGuard — Forecast · Chec'!Q18*'CheckoutGuard — Assumptions · S'!B6</f>
        <v>83.7589106240334</v>
      </c>
      <c r="R6" s="14">
        <f>'CheckoutGuard — Forecast · Chec'!R22*'CheckoutGuard — Assumptions · S'!B5+'CheckoutGuard — Forecast · Chec'!R18*'CheckoutGuard — Assumptions · S'!B6</f>
        <v>90.8819754168841</v>
      </c>
      <c r="S6" s="14">
        <f>'CheckoutGuard — Forecast · Chec'!S22*'CheckoutGuard — Assumptions · S'!B5+'CheckoutGuard — Forecast · Chec'!S18*'CheckoutGuard — Assumptions · S'!B6</f>
        <v>98.27313987152786</v>
      </c>
      <c r="T6" s="14">
        <f>'CheckoutGuard — Forecast · Chec'!T22*'CheckoutGuard — Assumptions · S'!B5+'CheckoutGuard — Forecast · Chec'!T18*'CheckoutGuard — Assumptions · S'!B6</f>
        <v>105.94845057838984</v>
      </c>
      <c r="U6" s="14">
        <f>'CheckoutGuard — Forecast · Chec'!U22*'CheckoutGuard — Assumptions · S'!B5+'CheckoutGuard — Forecast · Chec'!U18*'CheckoutGuard — Assumptions · S'!B6</f>
        <v>113.92467720919632</v>
      </c>
      <c r="V6" s="14">
        <f>'CheckoutGuard — Forecast · Chec'!V22*'CheckoutGuard — Assumptions · S'!B5+'CheckoutGuard — Forecast · Chec'!V18*'CheckoutGuard — Assumptions · S'!B6</f>
        <v>122.21935104848652</v>
      </c>
      <c r="W6" s="14">
        <f>'CheckoutGuard — Forecast · Chec'!W22*'CheckoutGuard — Assumptions · S'!B5+'CheckoutGuard — Forecast · Chec'!W18*'CheckoutGuard — Assumptions · S'!B6</f>
        <v>130.85080538037633</v>
      </c>
      <c r="X6" s="14">
        <f>'CheckoutGuard — Forecast · Chec'!X22*'CheckoutGuard — Assumptions · S'!B5+'CheckoutGuard — Forecast · Chec'!X18*'CheckoutGuard — Assumptions · S'!B6</f>
        <v>139.83821782547665</v>
      </c>
      <c r="Y6" s="14">
        <f>'CheckoutGuard — Forecast · Chec'!Y22*'CheckoutGuard — Assumptions · S'!B5+'CheckoutGuard — Forecast · Chec'!Y18*'CheckoutGuard — Assumptions · S'!B6</f>
        <v>149.20165472754954</v>
      </c>
      <c r="Z6" s="14">
        <f>'CheckoutGuard — Forecast · Chec'!Z22*'CheckoutGuard — Assumptions · S'!B5+'CheckoutGuard — Forecast · Chec'!Z18*'CheckoutGuard — Assumptions · S'!B6</f>
        <v>158.96211769440214</v>
      </c>
    </row>
    <row r="7" outlineLevel="1">
      <c r="A7" t="inlineStr" s="20">
        <is>
          <t xml:space="preserve">Developer</t>
        </is>
      </c>
      <c r="B7" s="14">
        <f>'CheckoutGuard — Forecast · Chec'!B23*'CheckoutGuard — Assumptions · S'!B5+'CheckoutGuard — Forecast · Chec'!B19*'CheckoutGuard — Assumptions · S'!B6</f>
        <v>0</v>
      </c>
      <c r="C7" s="14">
        <f>'CheckoutGuard — Forecast · Chec'!C23*'CheckoutGuard — Assumptions · S'!B5+'CheckoutGuard — Forecast · Chec'!C19*'CheckoutGuard — Assumptions · S'!B6</f>
        <v>2.34</v>
      </c>
      <c r="D7" s="14">
        <f>'CheckoutGuard — Forecast · Chec'!D23*'CheckoutGuard — Assumptions · S'!B5+'CheckoutGuard — Forecast · Chec'!D19*'CheckoutGuard — Assumptions · S'!B6</f>
        <v>4.7268</v>
      </c>
      <c r="E7" s="14">
        <f>'CheckoutGuard — Forecast · Chec'!E23*'CheckoutGuard — Assumptions · S'!B5+'CheckoutGuard — Forecast · Chec'!E19*'CheckoutGuard — Assumptions · S'!B6</f>
        <v>7.164846</v>
      </c>
      <c r="F7" s="14">
        <f>'CheckoutGuard — Forecast · Chec'!F23*'CheckoutGuard — Assumptions · S'!B5+'CheckoutGuard — Forecast · Chec'!F19*'CheckoutGuard — Assumptions · S'!B6</f>
        <v>9.65874312</v>
      </c>
      <c r="G7" s="14">
        <f>'CheckoutGuard — Forecast · Chec'!G23*'CheckoutGuard — Assumptions · S'!B5+'CheckoutGuard — Forecast · Chec'!G19*'CheckoutGuard — Assumptions · S'!B6</f>
        <v>12.213265451400002</v>
      </c>
      <c r="H7" s="14">
        <f>'CheckoutGuard — Forecast · Chec'!H23*'CheckoutGuard — Assumptions · S'!B5+'CheckoutGuard — Forecast · Chec'!H19*'CheckoutGuard — Assumptions · S'!B6</f>
        <v>14.833366344108</v>
      </c>
      <c r="I7" s="14">
        <f>'CheckoutGuard — Forecast · Chec'!I23*'CheckoutGuard — Assumptions · S'!B5+'CheckoutGuard — Forecast · Chec'!I19*'CheckoutGuard — Assumptions · S'!B6</f>
        <v>17.524189152847264</v>
      </c>
      <c r="J7" s="14">
        <f>'CheckoutGuard — Forecast · Chec'!J23*'CheckoutGuard — Assumptions · S'!B5+'CheckoutGuard — Forecast · Chec'!J19*'CheckoutGuard — Assumptions · S'!B6</f>
        <v>20.291078467277472</v>
      </c>
      <c r="K7" s="14">
        <f>'CheckoutGuard — Forecast · Chec'!K23*'CheckoutGuard — Assumptions · S'!B5+'CheckoutGuard — Forecast · Chec'!K19*'CheckoutGuard — Assumptions · S'!B6</f>
        <v>23.13959185172556</v>
      </c>
      <c r="L7" s="14">
        <f>'CheckoutGuard — Forecast · Chec'!L23*'CheckoutGuard — Assumptions · S'!B5+'CheckoutGuard — Forecast · Chec'!L19*'CheckoutGuard — Assumptions · S'!B6</f>
        <v>26.07551212156352</v>
      </c>
      <c r="M7" s="14">
        <f>'CheckoutGuard — Forecast · Chec'!M23*'CheckoutGuard — Assumptions · S'!B5+'CheckoutGuard — Forecast · Chec'!M19*'CheckoutGuard — Assumptions · S'!B6</f>
        <v>29.10486018457583</v>
      </c>
      <c r="N7" s="14">
        <f>'CheckoutGuard — Forecast · Chec'!N23*'CheckoutGuard — Assumptions · S'!B5+'CheckoutGuard — Forecast · Chec'!N19*'CheckoutGuard — Assumptions · S'!B6</f>
        <v>32.23390847703073</v>
      </c>
      <c r="O7" s="14">
        <f>'CheckoutGuard — Forecast · Chec'!O23*'CheckoutGuard — Assumptions · S'!B5+'CheckoutGuard — Forecast · Chec'!O19*'CheckoutGuard — Assumptions · S'!B6</f>
        <v>35.4691950256116</v>
      </c>
      <c r="P7" s="14">
        <f>'CheckoutGuard — Forecast · Chec'!P23*'CheckoutGuard — Assumptions · S'!B5+'CheckoutGuard — Forecast · Chec'!P19*'CheckoutGuard — Assumptions · S'!B6</f>
        <v>38.81753816787962</v>
      </c>
      <c r="Q7" s="14">
        <f>'CheckoutGuard — Forecast · Chec'!Q23*'CheckoutGuard — Assumptions · S'!B5+'CheckoutGuard — Forecast · Chec'!Q19*'CheckoutGuard — Assumptions · S'!B6</f>
        <v>42.28605196553143</v>
      </c>
      <c r="R7" s="14">
        <f>'CheckoutGuard — Forecast · Chec'!R23*'CheckoutGuard — Assumptions · S'!B5+'CheckoutGuard — Forecast · Chec'!R19*'CheckoutGuard — Assumptions · S'!B6</f>
        <v>45.882162346388085</v>
      </c>
      <c r="S7" s="14">
        <f>'CheckoutGuard — Forecast · Chec'!S23*'CheckoutGuard — Assumptions · S'!B5+'CheckoutGuard — Forecast · Chec'!S19*'CheckoutGuard — Assumptions · S'!B6</f>
        <v>49.61362401281019</v>
      </c>
      <c r="T7" s="14">
        <f>'CheckoutGuard — Forecast · Chec'!T23*'CheckoutGuard — Assumptions · S'!B5+'CheckoutGuard — Forecast · Chec'!T19*'CheckoutGuard — Assumptions · S'!B6</f>
        <v>53.488538156080295</v>
      </c>
      <c r="U7" s="14">
        <f>'CheckoutGuard — Forecast · Chec'!U23*'CheckoutGuard — Assumptions · S'!B5+'CheckoutGuard — Forecast · Chec'!U19*'CheckoutGuard — Assumptions · S'!B6</f>
        <v>57.51537101823503</v>
      </c>
      <c r="V7" s="14">
        <f>'CheckoutGuard — Forecast · Chec'!V23*'CheckoutGuard — Assumptions · S'!B5+'CheckoutGuard — Forecast · Chec'!V19*'CheckoutGuard — Assumptions · S'!B6</f>
        <v>61.702973344866976</v>
      </c>
      <c r="W7" s="14">
        <f>'CheckoutGuard — Forecast · Chec'!W23*'CheckoutGuard — Assumptions · S'!B5+'CheckoutGuard — Forecast · Chec'!W19*'CheckoutGuard — Assumptions · S'!B6</f>
        <v>66.06060077455892</v>
      </c>
      <c r="X7" s="14">
        <f>'CheckoutGuard — Forecast · Chec'!X23*'CheckoutGuard — Assumptions · S'!B5+'CheckoutGuard — Forecast · Chec'!X19*'CheckoutGuard — Assumptions · S'!B6</f>
        <v>70.597935212862</v>
      </c>
      <c r="Y7" s="14">
        <f>'CheckoutGuard — Forecast · Chec'!Y23*'CheckoutGuard — Assumptions · S'!B5+'CheckoutGuard — Forecast · Chec'!Y19*'CheckoutGuard — Assumptions · S'!B6</f>
        <v>75.32510724109298</v>
      </c>
      <c r="Z7" s="14">
        <f>'CheckoutGuard — Forecast · Chec'!Z23*'CheckoutGuard — Assumptions · S'!B5+'CheckoutGuard — Forecast · Chec'!Z19*'CheckoutGuard — Assumptions · S'!B6</f>
        <v>80.25271961270786</v>
      </c>
    </row>
    <row r="8" outlineLevel="1">
      <c r="A8" t="inlineStr" s="20">
        <is>
          <t xml:space="preserve">Team</t>
        </is>
      </c>
      <c r="B8" s="14">
        <f>'CheckoutGuard — Forecast · Chec'!B24*'CheckoutGuard — Assumptions · S'!B5+'CheckoutGuard — Forecast · Chec'!B20*'CheckoutGuard — Assumptions · S'!B6</f>
        <v>0</v>
      </c>
      <c r="C8" s="14">
        <f>'CheckoutGuard — Forecast · Chec'!C24*'CheckoutGuard — Assumptions · S'!B5+'CheckoutGuard — Forecast · Chec'!C20*'CheckoutGuard — Assumptions · S'!B6</f>
        <v>6.539999999999999</v>
      </c>
      <c r="D8" s="14">
        <f>'CheckoutGuard — Forecast · Chec'!D24*'CheckoutGuard — Assumptions · S'!B5+'CheckoutGuard — Forecast · Chec'!D20*'CheckoutGuard — Assumptions · S'!B6</f>
        <v>13.210799999999999</v>
      </c>
      <c r="E8" s="14">
        <f>'CheckoutGuard — Forecast · Chec'!E24*'CheckoutGuard — Assumptions · S'!B5+'CheckoutGuard — Forecast · Chec'!E20*'CheckoutGuard — Assumptions · S'!B6</f>
        <v>20.024826</v>
      </c>
      <c r="F8" s="14">
        <f>'CheckoutGuard — Forecast · Chec'!F24*'CheckoutGuard — Assumptions · S'!B5+'CheckoutGuard — Forecast · Chec'!F20*'CheckoutGuard — Assumptions · S'!B6</f>
        <v>26.99494872</v>
      </c>
      <c r="G8" s="14">
        <f>'CheckoutGuard — Forecast · Chec'!G24*'CheckoutGuard — Assumptions · S'!B5+'CheckoutGuard — Forecast · Chec'!G20*'CheckoutGuard — Assumptions · S'!B6</f>
        <v>34.134511133400004</v>
      </c>
      <c r="H8" s="14">
        <f>'CheckoutGuard — Forecast · Chec'!H24*'CheckoutGuard — Assumptions · S'!B5+'CheckoutGuard — Forecast · Chec'!H20*'CheckoutGuard — Assumptions · S'!B6</f>
        <v>41.457357218148005</v>
      </c>
      <c r="I8" s="14">
        <f>'CheckoutGuard — Forecast · Chec'!I24*'CheckoutGuard — Assumptions · S'!B5+'CheckoutGuard — Forecast · Chec'!I20*'CheckoutGuard — Assumptions · S'!B6</f>
        <v>48.977861991291064</v>
      </c>
      <c r="J8" s="14">
        <f>'CheckoutGuard — Forecast · Chec'!J24*'CheckoutGuard — Assumptions · S'!B5+'CheckoutGuard — Forecast · Chec'!J20*'CheckoutGuard — Assumptions · S'!B6</f>
        <v>56.71096289572422</v>
      </c>
      <c r="K8" s="14">
        <f>'CheckoutGuard — Forecast · Chec'!K24*'CheckoutGuard — Assumptions · S'!B5+'CheckoutGuard — Forecast · Chec'!K20*'CheckoutGuard — Assumptions · S'!B6</f>
        <v>64.67219261123297</v>
      </c>
      <c r="L8" s="14">
        <f>'CheckoutGuard — Forecast · Chec'!L24*'CheckoutGuard — Assumptions · S'!B5+'CheckoutGuard — Forecast · Chec'!L20*'CheckoutGuard — Assumptions · S'!B6</f>
        <v>72.87771336539548</v>
      </c>
      <c r="M8" s="14">
        <f>'CheckoutGuard — Forecast · Chec'!M24*'CheckoutGuard — Assumptions · S'!B5+'CheckoutGuard — Forecast · Chec'!M20*'CheckoutGuard — Assumptions · S'!B6</f>
        <v>81.3443528235581</v>
      </c>
      <c r="N8" s="14">
        <f>'CheckoutGuard — Forecast · Chec'!N24*'CheckoutGuard — Assumptions · S'!B5+'CheckoutGuard — Forecast · Chec'!N20*'CheckoutGuard — Assumptions · S'!B6</f>
        <v>90.08964164093204</v>
      </c>
      <c r="O8" s="14">
        <f>'CheckoutGuard — Forecast · Chec'!O24*'CheckoutGuard — Assumptions · S'!B5+'CheckoutGuard — Forecast · Chec'!O20*'CheckoutGuard — Assumptions · S'!B6</f>
        <v>99.13185276388882</v>
      </c>
      <c r="P8" s="14">
        <f>'CheckoutGuard — Forecast · Chec'!P24*'CheckoutGuard — Assumptions · S'!B5+'CheckoutGuard — Forecast · Chec'!P20*'CheckoutGuard — Assumptions · S'!B6</f>
        <v>108.49004257176611</v>
      </c>
      <c r="Q8" s="14">
        <f>'CheckoutGuard — Forecast · Chec'!Q24*'CheckoutGuard — Assumptions · S'!B5+'CheckoutGuard — Forecast · Chec'!Q20*'CheckoutGuard — Assumptions · S'!B6</f>
        <v>118.18409395494682</v>
      </c>
      <c r="R8" s="14">
        <f>'CheckoutGuard — Forecast · Chec'!R24*'CheckoutGuard — Assumptions · S'!B5+'CheckoutGuard — Forecast · Chec'!R20*'CheckoutGuard — Assumptions · S'!B6</f>
        <v>128.23476142964876</v>
      </c>
      <c r="S8" s="14">
        <f>'CheckoutGuard — Forecast · Chec'!S24*'CheckoutGuard — Assumptions · S'!B5+'CheckoutGuard — Forecast · Chec'!S20*'CheckoutGuard — Assumptions · S'!B6</f>
        <v>138.66371839477716</v>
      </c>
      <c r="T8" s="14">
        <f>'CheckoutGuard — Forecast · Chec'!T24*'CheckoutGuard — Assumptions · S'!B5+'CheckoutGuard — Forecast · Chec'!T20*'CheckoutGuard — Assumptions · S'!B6</f>
        <v>149.4936066413526</v>
      </c>
      <c r="U8" s="14">
        <f>'CheckoutGuard — Forecast · Chec'!U24*'CheckoutGuard — Assumptions · S'!B5+'CheckoutGuard — Forecast · Chec'!U20*'CheckoutGuard — Assumptions · S'!B6</f>
        <v>160.74808823045174</v>
      </c>
      <c r="V8" s="14">
        <f>'CheckoutGuard — Forecast · Chec'!V24*'CheckoutGuard — Assumptions · S'!B5+'CheckoutGuard — Forecast · Chec'!V20*'CheckoutGuard — Assumptions · S'!B6</f>
        <v>172.4518998612949</v>
      </c>
      <c r="W8" s="14">
        <f>'CheckoutGuard — Forecast · Chec'!W24*'CheckoutGuard — Assumptions · S'!B5+'CheckoutGuard — Forecast · Chec'!W20*'CheckoutGuard — Assumptions · S'!B6</f>
        <v>184.6309098571006</v>
      </c>
      <c r="X8" s="14">
        <f>'CheckoutGuard — Forecast · Chec'!X24*'CheckoutGuard — Assumptions · S'!B5+'CheckoutGuard — Forecast · Chec'!X20*'CheckoutGuard — Assumptions · S'!B6</f>
        <v>197.3121779026143</v>
      </c>
      <c r="Y8" s="14">
        <f>'CheckoutGuard — Forecast · Chec'!Y24*'CheckoutGuard — Assumptions · S'!B5+'CheckoutGuard — Forecast · Chec'!Y20*'CheckoutGuard — Assumptions · S'!B6</f>
        <v>210.52401767382398</v>
      </c>
      <c r="Z8" s="14">
        <f>'CheckoutGuard — Forecast · Chec'!Z24*'CheckoutGuard — Assumptions · S'!B5+'CheckoutGuard — Forecast · Chec'!Z20*'CheckoutGuard — Assumptions · S'!B6</f>
        <v>224.29606250731172</v>
      </c>
    </row>
  </sheetData>
  <mergeCells count="1">
    <mergeCell ref="A1:Z1"/>
  </mergeCells>
</worksheet>
</file>

<file path=xl/worksheets/sheet10.xml><?xml version="1.0" encoding="utf-8"?>
<worksheet xmlns="http://schemas.openxmlformats.org/spreadsheetml/2006/main">
  <dimension ref="A1:Y1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CheckoutGuard — Forecast · One-way operating sensitivity — assumptions</t>
        </is>
      </c>
    </row>
    <row r="2" ht="20" customHeight="1">
      <c r="A2" t="inlineStr" s="2">
        <is>
          <t xml:space="preserve">Financial model (3 pages)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17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17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17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17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17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17">
        <is>
          <t xml:space="preserve">2028-04</t>
        </is>
      </c>
      <c r="T4" t="inlineStr" s="4">
        <is>
          <t xml:space="preserve">2028-05</t>
        </is>
      </c>
      <c r="U4" t="inlineStr" s="4">
        <is>
          <t xml:space="preserve">2028-06</t>
        </is>
      </c>
      <c r="V4" t="inlineStr" s="17">
        <is>
          <t xml:space="preserve">2028-07</t>
        </is>
      </c>
      <c r="W4" t="inlineStr" s="4">
        <is>
          <t xml:space="preserve">2028-08</t>
        </is>
      </c>
      <c r="X4" t="inlineStr" s="4">
        <is>
          <t xml:space="preserve">2028-09</t>
        </is>
      </c>
      <c r="Y4" t="inlineStr" s="17">
        <is>
          <t xml:space="preserve">2028-10</t>
        </is>
      </c>
    </row>
    <row r="5">
      <c r="A5" t="inlineStr" s="5">
        <is>
          <t xml:space="preserve">Operating result</t>
        </is>
      </c>
      <c r="B5" s="11">
        <f>'CheckoutGuard — Forecast · Chec'!C37-'CheckoutGuard — Assumptions (2)'!B13</f>
        <v>-6479.00916</v>
      </c>
      <c r="C5" s="11">
        <f>'CheckoutGuard — Forecast · Chec'!D37-'CheckoutGuard — Assumptions (2)'!B13</f>
        <v>-6151.5985032</v>
      </c>
      <c r="D5" s="11">
        <f>'CheckoutGuard — Forecast · Chec'!E37-'CheckoutGuard — Assumptions (2)'!B13</f>
        <v>-5817.158147004</v>
      </c>
      <c r="E5" s="11">
        <f>'CheckoutGuard — Forecast · Chec'!F37-'CheckoutGuard — Assumptions (2)'!B13</f>
        <v>-5475.05638143888</v>
      </c>
      <c r="F5" s="11">
        <f>'CheckoutGuard — Forecast · Chec'!G37-'CheckoutGuard — Assumptions (2)'!B13</f>
        <v>-5124.638317782963</v>
      </c>
      <c r="G5" s="11">
        <f>'CheckoutGuard — Forecast · Chec'!H37-'CheckoutGuard — Assumptions (2)'!B13</f>
        <v>-4765.224477426087</v>
      </c>
      <c r="H5" s="11">
        <f>'CheckoutGuard — Forecast · Chec'!I37-'CheckoutGuard — Assumptions (2)'!B13</f>
        <v>-4396.109317738747</v>
      </c>
      <c r="I5" s="11">
        <f>'CheckoutGuard — Forecast · Chec'!J37-'CheckoutGuard — Assumptions (2)'!B13</f>
        <v>-4016.5596915737997</v>
      </c>
      <c r="J5" s="11">
        <f>'CheckoutGuard — Forecast · Chec'!K37-'CheckoutGuard — Assumptions (2)'!B13</f>
        <v>-3625.8132368621614</v>
      </c>
      <c r="K5" s="11">
        <f>'CheckoutGuard — Forecast · Chec'!L37-'CheckoutGuard — Assumptions (2)'!B13</f>
        <v>-3223.076692593651</v>
      </c>
      <c r="L5" s="11">
        <f>'CheckoutGuard — Forecast · Chec'!M37-'CheckoutGuard — Assumptions (2)'!B13</f>
        <v>-2807.5241372950636</v>
      </c>
      <c r="M5" s="11">
        <f>'CheckoutGuard — Business pl (3)'!B7-'CheckoutGuard — Assumptions (2)'!B13</f>
        <v>-2378.2951459293945</v>
      </c>
      <c r="N5" s="11">
        <f>'CheckoutGuard — Business pl (3)'!E7-'CheckoutGuard — Assumptions (2)'!B13</f>
        <v>-1934.492860942355</v>
      </c>
      <c r="O5" s="11">
        <f>'CheckoutGuard — Business pl (3)'!H7-'CheckoutGuard — Assumptions (2)'!B13</f>
        <v>-1475.1819729744693</v>
      </c>
      <c r="P5" s="11">
        <f>'CheckoutGuard — Business pl (3)'!K7-'CheckoutGuard — Assumptions (2)'!B13</f>
        <v>-999.3866065386392</v>
      </c>
      <c r="Q5" s="11">
        <f>'CheckoutGuard — Business pl (3)'!N7-'CheckoutGuard — Assumptions (2)'!B13</f>
        <v>-506.0881057335537</v>
      </c>
      <c r="R5" s="11">
        <f>'CheckoutGuard — Business pl (3)'!Q7-'CheckoutGuard — Assumptions (2)'!B13</f>
        <v>5.7772851778254335</v>
      </c>
      <c r="S5" s="11">
        <f>'CheckoutGuard — Business pl (3)'!T7-'CheckoutGuard — Assumptions (2)'!B13</f>
        <v>537.3208517488329</v>
      </c>
      <c r="T5" s="11">
        <f>'CheckoutGuard — Business pl (3)'!W7-'CheckoutGuard — Assumptions (2)'!B13</f>
        <v>1089.7039555790252</v>
      </c>
      <c r="U5" s="11">
        <f>'CheckoutGuard — Business pl (3)'!Z7-'CheckoutGuard — Assumptions (2)'!B13</f>
        <v>1664.140702763445</v>
      </c>
      <c r="V5" s="11">
        <f>'CheckoutGuard — Business pl (3)'!AC7-'CheckoutGuard — Assumptions (2)'!B13</f>
        <v>2261.9007408249236</v>
      </c>
      <c r="W5" s="11">
        <f>'CheckoutGuard — Business pl (3)'!AF7-'CheckoutGuard — Assumptions (2)'!B13</f>
        <v>2884.312190701774</v>
      </c>
      <c r="X5" s="11">
        <f>'CheckoutGuard — Business pl (3)'!AI7-'CheckoutGuard — Assumptions (2)'!B13</f>
        <v>3532.7647206874008</v>
      </c>
      <c r="Y5" s="11">
        <f>'CheckoutGuard — Business pl (3)'!AL7-'CheckoutGuard — Assumptions (2)'!B13</f>
        <v>4208.7127695587915</v>
      </c>
    </row>
    <row r="6">
      <c r="A6" t="inlineStr" s="8">
        <is>
          <t xml:space="preserve">Provider 10x operating result</t>
        </is>
      </c>
      <c r="B6" s="9">
        <f>'CheckoutGuard — Forecast · Chec'!C21-('CheckoutGuard — Forecast · Chec'!C25)*('CheckoutGuard — Assumptions (2)'!B12+'CheckoutGuard — Assumptions (2)'!B9*('CheckoutGuard — Assumptions · S'!B7-1))-('CheckoutGuard — Forecast · Chec'!C33)-'CheckoutGuard — Forecast · Paym'!C5-'CheckoutGuard — Assumptions (2)'!B13</f>
        <v>-6516.4866</v>
      </c>
      <c r="C6" s="9">
        <f>'CheckoutGuard — Forecast · Chec'!D21-('CheckoutGuard — Forecast · Chec'!D25)*('CheckoutGuard — Assumptions (2)'!B12+'CheckoutGuard — Assumptions (2)'!B9*('CheckoutGuard — Assumptions · S'!B7-1))-('CheckoutGuard — Forecast · Chec'!D33)-'CheckoutGuard — Forecast · Paym'!D5-'CheckoutGuard — Assumptions (2)'!B13</f>
        <v>-6227.302932</v>
      </c>
      <c r="D6" s="9">
        <f>'CheckoutGuard — Forecast · Chec'!E21-('CheckoutGuard — Forecast · Chec'!E25)*('CheckoutGuard — Assumptions (2)'!B12+'CheckoutGuard — Assumptions (2)'!B9*('CheckoutGuard — Assumptions · S'!B7-1))-('CheckoutGuard — Forecast · Chec'!E33)-'CheckoutGuard — Forecast · Paym'!E5-'CheckoutGuard — Assumptions (2)'!B13</f>
        <v>-5931.910320540001</v>
      </c>
      <c r="E6" s="9">
        <f>'CheckoutGuard — Forecast · Chec'!F21-('CheckoutGuard — Forecast · Chec'!F25)*('CheckoutGuard — Assumptions (2)'!B12+'CheckoutGuard — Assumptions (2)'!B9*('CheckoutGuard — Assumptions · S'!B7-1))-('CheckoutGuard — Forecast · Chec'!F33)-'CheckoutGuard — Forecast · Paym'!F5-'CheckoutGuard — Assumptions (2)'!B13</f>
        <v>-5629.750811248799</v>
      </c>
      <c r="F6" s="9">
        <f>'CheckoutGuard — Forecast · Chec'!G21-('CheckoutGuard — Forecast · Chec'!G25)*('CheckoutGuard — Assumptions (2)'!B12+'CheckoutGuard — Assumptions (2)'!B9*('CheckoutGuard — Assumptions · S'!B7-1))-('CheckoutGuard — Forecast · Chec'!G33)-'CheckoutGuard — Forecast · Paym'!G5-'CheckoutGuard — Assumptions (2)'!B13</f>
        <v>-5320.245977252585</v>
      </c>
      <c r="G6" s="9">
        <f>'CheckoutGuard — Forecast · Chec'!H21-('CheckoutGuard — Forecast · Chec'!H25)*('CheckoutGuard — Assumptions (2)'!B12+'CheckoutGuard — Assumptions (2)'!B9*('CheckoutGuard — Assumptions · S'!B7-1))-('CheckoutGuard — Forecast · Chec'!H33)-'CheckoutGuard — Forecast · Paym'!H5-'CheckoutGuard — Assumptions (2)'!B13</f>
        <v>-5002.795672793321</v>
      </c>
      <c r="H6" s="9">
        <f>'CheckoutGuard — Forecast · Chec'!I21-('CheckoutGuard — Forecast · Chec'!I25)*('CheckoutGuard — Assumptions (2)'!B12+'CheckoutGuard — Assumptions (2)'!B9*('CheckoutGuard — Assumptions · S'!B7-1))-('CheckoutGuard — Forecast · Chec'!I33)-'CheckoutGuard — Forecast · Paym'!I5-'CheckoutGuard — Assumptions (2)'!B13</f>
        <v>-4676.776731210749</v>
      </c>
      <c r="I6" s="9">
        <f>'CheckoutGuard — Forecast · Chec'!J21-('CheckoutGuard — Forecast · Chec'!J25)*('CheckoutGuard — Assumptions (2)'!B12+'CheckoutGuard — Assumptions (2)'!B9*('CheckoutGuard — Assumptions · S'!B7-1))-('CheckoutGuard — Forecast · Chec'!J33)-'CheckoutGuard — Forecast · Paym'!J5-'CheckoutGuard — Assumptions (2)'!B13</f>
        <v>-4341.541604305716</v>
      </c>
      <c r="J6" s="9">
        <f>'CheckoutGuard — Forecast · Chec'!K21-('CheckoutGuard — Forecast · Chec'!K25)*('CheckoutGuard — Assumptions (2)'!B12+'CheckoutGuard — Assumptions (2)'!B9*('CheckoutGuard — Assumptions · S'!B7-1))-('CheckoutGuard — Forecast · Chec'!K33)-'CheckoutGuard — Forecast · Paym'!K5-'CheckoutGuard — Assumptions (2)'!B13</f>
        <v>-3996.4169399593975</v>
      </c>
      <c r="K6" s="9">
        <f>'CheckoutGuard — Forecast · Chec'!L21-('CheckoutGuard — Forecast · Chec'!L25)*('CheckoutGuard — Assumptions (2)'!B12+'CheckoutGuard — Assumptions (2)'!B9*('CheckoutGuard — Assumptions · S'!B7-1))-('CheckoutGuard — Forecast · Chec'!L33)-'CheckoutGuard — Forecast · Paym'!L5-'CheckoutGuard — Assumptions (2)'!B13</f>
        <v>-3640.7020947326123</v>
      </c>
      <c r="L6" s="9">
        <f>'CheckoutGuard — Forecast · Chec'!M21-('CheckoutGuard — Forecast · Chec'!M25)*('CheckoutGuard — Assumptions (2)'!B12+'CheckoutGuard — Assumptions (2)'!B9*('CheckoutGuard — Assumptions · S'!B7-1))-('CheckoutGuard — Forecast · Chec'!M33)-'CheckoutGuard — Forecast · Paym'!M5-'CheckoutGuard — Assumptions (2)'!B13</f>
        <v>-3273.66757801123</v>
      </c>
      <c r="M6" s="9">
        <f>'CheckoutGuard — Business pl (3)'!B6-('CheckoutGuard — Forecast · Chec'!N25)*('CheckoutGuard — Assumptions (2)'!B12+'CheckoutGuard — Assumptions (2)'!B9*('CheckoutGuard — Assumptions · S'!B7-1))-('CheckoutGuard — Forecast · Chec'!N33)-'CheckoutGuard — Forecast · Paym'!N5-'CheckoutGuard — Assumptions (2)'!B13</f>
        <v>-2894.553424097519</v>
      </c>
      <c r="N6" s="9">
        <f>'CheckoutGuard — Business pl (3)'!E6-('CheckoutGuard — Forecast · Chec'!O25)*('CheckoutGuard — Assumptions (2)'!B12+'CheckoutGuard — Assumptions (2)'!B9*('CheckoutGuard — Assumptions · S'!B7-1))-('CheckoutGuard — Forecast · Chec'!O33)-'CheckoutGuard — Forecast · Paym'!O5-'CheckoutGuard — Assumptions (2)'!B13</f>
        <v>-2502.5674884725504</v>
      </c>
      <c r="O6" s="9">
        <f>'CheckoutGuard — Business pl (3)'!H6-('CheckoutGuard — Forecast · Chec'!P25)*('CheckoutGuard — Assumptions (2)'!B12+'CheckoutGuard — Assumptions (2)'!B9*('CheckoutGuard — Assumptions · S'!B7-1))-('CheckoutGuard — Forecast · Chec'!P33)-'CheckoutGuard — Forecast · Paym'!P5-'CheckoutGuard — Assumptions (2)'!B13</f>
        <v>-2096.8836642712304</v>
      </c>
      <c r="P6" s="9">
        <f>'CheckoutGuard — Business pl (3)'!K6-('CheckoutGuard — Forecast · Chec'!Q25)*('CheckoutGuard — Assumptions (2)'!B12+'CheckoutGuard — Assumptions (2)'!B9*('CheckoutGuard — Assumptions · S'!B7-1))-('CheckoutGuard — Forecast · Chec'!Q33)-'CheckoutGuard — Forecast · Paym'!Q5-'CheckoutGuard — Assumptions (2)'!B13</f>
        <v>-1676.6400148185903</v>
      </c>
      <c r="Q6" s="9">
        <f>'CheckoutGuard — Business pl (3)'!N6-('CheckoutGuard — Forecast · Chec'!R25)*('CheckoutGuard — Assumptions (2)'!B12+'CheckoutGuard — Assumptions (2)'!B9*('CheckoutGuard — Assumptions · S'!B7-1))-('CheckoutGuard — Forecast · Chec'!R33)-'CheckoutGuard — Forecast · Paym'!R5-'CheckoutGuard — Assumptions (2)'!B13</f>
        <v>-1240.9368178733048</v>
      </c>
      <c r="R6" s="9">
        <f>'CheckoutGuard — Business pl (3)'!Q6-('CheckoutGuard — Forecast · Chec'!S25)*('CheckoutGuard — Assumptions (2)'!B12+'CheckoutGuard — Assumptions (2)'!B9*('CheckoutGuard — Assumptions · S'!B7-1))-('CheckoutGuard — Forecast · Chec'!S33)-'CheckoutGuard — Forecast · Paym'!S5-'CheckoutGuard — Assumptions (2)'!B13</f>
        <v>-788.8345170113435</v>
      </c>
      <c r="S6" s="9">
        <f>'CheckoutGuard — Business pl (3)'!T6-('CheckoutGuard — Forecast · Chec'!T25)*('CheckoutGuard — Assumptions (2)'!B12+'CheckoutGuard — Assumptions (2)'!B9*('CheckoutGuard — Assumptions · S'!B7-1))-('CheckoutGuard — Forecast · Chec'!T33)-'CheckoutGuard — Forecast · Paym'!T5-'CheckoutGuard — Assumptions (2)'!B13</f>
        <v>-319.35157535894996</v>
      </c>
      <c r="T6" s="9">
        <f>'CheckoutGuard — Business pl (3)'!W6-('CheckoutGuard — Forecast · Chec'!U25)*('CheckoutGuard — Assumptions (2)'!B12+'CheckoutGuard — Assumptions (2)'!B9*('CheckoutGuard — Assumptions · S'!B7-1))-('CheckoutGuard — Forecast · Chec'!U33)-'CheckoutGuard — Forecast · Paym'!U5-'CheckoutGuard — Assumptions (2)'!B13</f>
        <v>168.53777335097493</v>
      </c>
      <c r="U6" s="9">
        <f>'CheckoutGuard — Business pl (3)'!Z6-('CheckoutGuard — Forecast · Chec'!V25)*('CheckoutGuard — Assumptions (2)'!B12+'CheckoutGuard — Assumptions (2)'!B9*('CheckoutGuard — Assumptions · S'!B7-1))-('CheckoutGuard — Forecast · Chec'!V33)-'CheckoutGuard — Forecast · Paym'!V5-'CheckoutGuard — Assumptions (2)'!B13</f>
        <v>675.9058816720544</v>
      </c>
      <c r="V6" s="9">
        <f>'CheckoutGuard — Business pl (3)'!AC6-('CheckoutGuard — Forecast · Chec'!W25)*('CheckoutGuard — Assumptions (2)'!B12+'CheckoutGuard — Assumptions (2)'!B9*('CheckoutGuard — Assumptions · S'!B7-1))-('CheckoutGuard — Forecast · Chec'!W33)-'CheckoutGuard — Forecast · Paym'!W5-'CheckoutGuard — Assumptions (2)'!B13</f>
        <v>1203.874158819588</v>
      </c>
      <c r="W6" s="9">
        <f>'CheckoutGuard — Business pl (3)'!AF6-('CheckoutGuard — Forecast · Chec'!X25)*('CheckoutGuard — Assumptions (2)'!B12+'CheckoutGuard — Assumptions (2)'!B9*('CheckoutGuard — Assumptions · S'!B7-1))-('CheckoutGuard — Forecast · Chec'!X33)-'CheckoutGuard — Forecast · Paym'!X5-'CheckoutGuard — Assumptions (2)'!B13</f>
        <v>1753.615660332578</v>
      </c>
      <c r="X6" s="9">
        <f>'CheckoutGuard — Business pl (3)'!AI6-('CheckoutGuard — Forecast · Chec'!Y25)*('CheckoutGuard — Assumptions (2)'!B12+'CheckoutGuard — Assumptions (2)'!B9*('CheckoutGuard — Assumptions · S'!B7-1))-('CheckoutGuard — Forecast · Chec'!Y33)-'CheckoutGuard — Forecast · Paym'!Y5-'CheckoutGuard — Assumptions (2)'!B13</f>
        <v>2326.357803114055</v>
      </c>
      <c r="Y6" s="9">
        <f>'CheckoutGuard — Business pl (3)'!AL6-('CheckoutGuard — Forecast · Chec'!Z25)*('CheckoutGuard — Assumptions (2)'!B12+'CheckoutGuard — Assumptions (2)'!B9*('CheckoutGuard — Assumptions · S'!B7-1))-('CheckoutGuard — Forecast · Chec'!Z33)-'CheckoutGuard — Forecast · Paym'!Z5-'CheckoutGuard — Assumptions (2)'!B13</f>
        <v>2923.385212241661</v>
      </c>
    </row>
    <row r="7">
      <c r="A7" t="inlineStr" s="8">
        <is>
          <t xml:space="preserve">Extra attempts 100 percent operating result</t>
        </is>
      </c>
      <c r="B7" s="9">
        <f>'CheckoutGuard — Forecast · Chec'!C21-('CheckoutGuard — Forecast · Chec'!C25)*('CheckoutGuard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Chec'!C33)-'CheckoutGuard — Forecast · Paym'!C5-'CheckoutGuard — Assumptions (2)'!B13</f>
        <v>-6483.1052666666665</v>
      </c>
      <c r="C7" s="9">
        <f>'CheckoutGuard — Forecast · Chec'!D21-('CheckoutGuard — Forecast · Chec'!D25)*('CheckoutGuard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Chec'!D33)-'CheckoutGuard — Forecast · Paym'!D5-'CheckoutGuard — Assumptions (2)'!B13</f>
        <v>-6159.872638666667</v>
      </c>
      <c r="D7" s="9">
        <f>'CheckoutGuard — Forecast · Chec'!E21-('CheckoutGuard — Forecast · Chec'!E25)*('CheckoutGuard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Chec'!E33)-'CheckoutGuard — Forecast · Paym'!E5-'CheckoutGuard — Assumptions (2)'!B13</f>
        <v>-5829.700016006667</v>
      </c>
      <c r="E7" s="9">
        <f>'CheckoutGuard — Forecast · Chec'!F21-('CheckoutGuard — Forecast · Chec'!F25)*('CheckoutGuard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Chec'!F33)-'CheckoutGuard — Forecast · Paym'!F5-'CheckoutGuard — Assumptions (2)'!B13</f>
        <v>-5491.963749851467</v>
      </c>
      <c r="F7" s="9">
        <f>'CheckoutGuard — Forecast · Chec'!G21-('CheckoutGuard — Forecast · Chec'!G25)*('CheckoutGuard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Chec'!G33)-'CheckoutGuard — Forecast · Paym'!G5-'CheckoutGuard — Assumptions (2)'!B13</f>
        <v>-5146.017308397172</v>
      </c>
      <c r="G7" s="9">
        <f>'CheckoutGuard — Forecast · Chec'!H21-('CheckoutGuard — Forecast · Chec'!H25)*('CheckoutGuard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Chec'!H33)-'CheckoutGuard — Forecast · Paym'!H5-'CheckoutGuard — Assumptions (2)'!B13</f>
        <v>-4791.18988373857</v>
      </c>
      <c r="H7" s="9">
        <f>'CheckoutGuard — Forecast · Chec'!I21-('CheckoutGuard — Forecast · Chec'!I25)*('CheckoutGuard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Chec'!I33)-'CheckoutGuard — Forecast · Paym'!I5-'CheckoutGuard — Assumptions (2)'!B13</f>
        <v>-4426.784936549391</v>
      </c>
      <c r="I7" s="9">
        <f>'CheckoutGuard — Forecast · Chec'!J21-('CheckoutGuard — Forecast · Chec'!J25)*('CheckoutGuard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Chec'!J33)-'CheckoutGuard — Forecast · Paym'!J5-'CheckoutGuard — Assumptions (2)'!B13</f>
        <v>-4052.0786752420354</v>
      </c>
      <c r="J7" s="9">
        <f>'CheckoutGuard — Forecast · Chec'!K21-('CheckoutGuard — Forecast · Chec'!K25)*('CheckoutGuard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Chec'!K33)-'CheckoutGuard — Forecast · Paym'!K5-'CheckoutGuard — Assumptions (2)'!B13</f>
        <v>-3666.318466113357</v>
      </c>
      <c r="K7" s="9">
        <f>'CheckoutGuard — Forecast · Chec'!L21-('CheckoutGuard — Forecast · Chec'!L25)*('CheckoutGuard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Chec'!L33)-'CheckoutGuard — Forecast · Paym'!L5-'CheckoutGuard — Assumptions (2)'!B13</f>
        <v>-3268.7211708149684</v>
      </c>
      <c r="L7" s="9">
        <f>'CheckoutGuard — Forecast · Chec'!M21-('CheckoutGuard — Forecast · Chec'!M25)*('CheckoutGuard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Chec'!M33)-'CheckoutGuard — Forecast · Paym'!M5-'CheckoutGuard — Assumptions (2)'!B13</f>
        <v>-2858.471407309783</v>
      </c>
      <c r="M7" s="9">
        <f>'CheckoutGuard — Business pl (3)'!B6-('CheckoutGuard — Forecast · Chec'!N25)*('CheckoutGuard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Chec'!N33)-'CheckoutGuard — Forecast · Paym'!N5-'CheckoutGuard — Assumptions (2)'!B13</f>
        <v>-2434.7197302907143</v>
      </c>
      <c r="N7" s="9">
        <f>'CheckoutGuard — Business pl (3)'!E6-('CheckoutGuard — Forecast · Chec'!O25)*('CheckoutGuard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Chec'!O33)-'CheckoutGuard — Forecast · Paym'!O5-'CheckoutGuard — Assumptions (2)'!B13</f>
        <v>-1996.5807268422304</v>
      </c>
      <c r="O7" s="9">
        <f>'CheckoutGuard — Business pl (3)'!H6-('CheckoutGuard — Forecast · Chec'!P25)*('CheckoutGuard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Chec'!P33)-'CheckoutGuard — Forecast · Paym'!P5-'CheckoutGuard — Assumptions (2)'!B13</f>
        <v>-1543.1310229202136</v>
      </c>
      <c r="P7" s="9">
        <f>'CheckoutGuard — Business pl (3)'!K6-('CheckoutGuard — Forecast · Chec'!Q25)*('CheckoutGuard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Chec'!Q33)-'CheckoutGuard — Forecast · Paym'!Q5-'CheckoutGuard — Assumptions (2)'!B13</f>
        <v>-1073.4071960100182</v>
      </c>
      <c r="Q7" s="9">
        <f>'CheckoutGuard — Business pl (3)'!N6-('CheckoutGuard — Forecast · Chec'!R25)*('CheckoutGuard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Chec'!R33)-'CheckoutGuard — Forecast · Paym'!R5-'CheckoutGuard — Assumptions (2)'!B13</f>
        <v>-586.4035890959985</v>
      </c>
      <c r="R7" s="9">
        <f>'CheckoutGuard — Business pl (3)'!Q6-('CheckoutGuard — Forecast · Chec'!S25)*('CheckoutGuard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Chec'!S33)-'CheckoutGuard — Forecast · Paym'!S5-'CheckoutGuard — Assumptions (2)'!B13</f>
        <v>-81.07002083771567</v>
      </c>
      <c r="S7" s="9">
        <f>'CheckoutGuard — Business pl (3)'!T6-('CheckoutGuard — Forecast · Chec'!T25)*('CheckoutGuard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Chec'!T33)-'CheckoutGuard — Forecast · Paym'!T5-'CheckoutGuard — Assumptions (2)'!B13</f>
        <v>443.6906134020901</v>
      </c>
      <c r="T7" s="9">
        <f>'CheckoutGuard — Business pl (3)'!W6-('CheckoutGuard — Forecast · Chec'!U25)*('CheckoutGuard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Chec'!U33)-'CheckoutGuard — Forecast · Paym'!U5-'CheckoutGuard — Assumptions (2)'!B13</f>
        <v>989.0248552954372</v>
      </c>
      <c r="U7" s="9">
        <f>'CheckoutGuard — Business pl (3)'!Z6-('CheckoutGuard — Forecast · Chec'!V25)*('CheckoutGuard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Chec'!V33)-'CheckoutGuard — Forecast · Paym'!V5-'CheckoutGuard — Assumptions (2)'!B13</f>
        <v>1556.1313179467506</v>
      </c>
      <c r="V7" s="9">
        <f>'CheckoutGuard — Business pl (3)'!AC6-('CheckoutGuard — Forecast · Chec'!W25)*('CheckoutGuard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Chec'!W33)-'CheckoutGuard — Forecast · Paym'!W5-'CheckoutGuard — Assumptions (2)'!B13</f>
        <v>2146.263447134037</v>
      </c>
      <c r="W7" s="9">
        <f>'CheckoutGuard — Business pl (3)'!AF6-('CheckoutGuard — Forecast · Chec'!X25)*('CheckoutGuard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Chec'!X33)-'CheckoutGuard — Forecast · Paym'!X5-'CheckoutGuard — Assumptions (2)'!B13</f>
        <v>2760.7324158819865</v>
      </c>
      <c r="X7" s="9">
        <f>'CheckoutGuard — Business pl (3)'!AI6-('CheckoutGuard — Forecast · Chec'!Y25)*('CheckoutGuard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Chec'!Y33)-'CheckoutGuard — Forecast · Paym'!Y5-'CheckoutGuard — Assumptions (2)'!B13</f>
        <v>3400.9101591755953</v>
      </c>
      <c r="Y7" s="9">
        <f>'CheckoutGuard — Business pl (3)'!AL6-('CheckoutGuard — Forecast · Chec'!Z25)*('CheckoutGuard — Assumptions (2)'!B12+'CheckoutGuard — Assumptions (2)'!B8*'CheckoutGuard — Assumptions · C'!B7*'CheckoutGuard — Assumptions · C'!B9*('CheckoutGuard — Assumptions · S'!B8-'CheckoutGuard — Assumptions · C'!B8)+'CheckoutGuard — Assumptions · C'!B10/3600*'CheckoutGuard — Assumptions · C'!B11*('CheckoutGuard — Assumptions · S'!B8-'CheckoutGuard — Assumptions · C'!B8))-('CheckoutGuard — Forecast · Chec'!Z33)-'CheckoutGuard — Forecast · Paym'!Z5-'CheckoutGuard — Assumptions (2)'!B13</f>
        <v>4068.232555958901</v>
      </c>
    </row>
    <row r="8">
      <c r="A8" t="inlineStr" s="8">
        <is>
          <t xml:space="preserve">Browser 3x operating result</t>
        </is>
      </c>
      <c r="B8" s="9">
        <f>'CheckoutGuard — Forecast · Chec'!C21-('CheckoutGuard — Forecast · Chec'!C25)*('CheckoutGuard — Assumptions (2)'!B12+'CheckoutGuard — Assumptions (2)'!B10*('CheckoutGuard — Assumptions · S'!B11-1))-('CheckoutGuard — Forecast · Chec'!C33)-'CheckoutGuard — Forecast · Paym'!C5-'CheckoutGuard — Assumptions (2)'!B13</f>
        <v>-6482.96916</v>
      </c>
      <c r="C8" s="9">
        <f>'CheckoutGuard — Forecast · Chec'!D21-('CheckoutGuard — Forecast · Chec'!D25)*('CheckoutGuard — Assumptions (2)'!B12+'CheckoutGuard — Assumptions (2)'!B10*('CheckoutGuard — Assumptions · S'!B11-1))-('CheckoutGuard — Forecast · Chec'!D33)-'CheckoutGuard — Forecast · Paym'!D5-'CheckoutGuard — Assumptions (2)'!B13</f>
        <v>-6159.5977032</v>
      </c>
      <c r="D8" s="9">
        <f>'CheckoutGuard — Forecast · Chec'!E21-('CheckoutGuard — Forecast · Chec'!E25)*('CheckoutGuard — Assumptions (2)'!B12+'CheckoutGuard — Assumptions (2)'!B10*('CheckoutGuard — Assumptions · S'!B11-1))-('CheckoutGuard — Forecast · Chec'!E33)-'CheckoutGuard — Forecast · Paym'!E5-'CheckoutGuard — Assumptions (2)'!B13</f>
        <v>-5829.283271004</v>
      </c>
      <c r="E8" s="9">
        <f>'CheckoutGuard — Forecast · Chec'!F21-('CheckoutGuard — Forecast · Chec'!F25)*('CheckoutGuard — Assumptions (2)'!B12+'CheckoutGuard — Assumptions (2)'!B10*('CheckoutGuard — Assumptions · S'!B11-1))-('CheckoutGuard — Forecast · Chec'!F33)-'CheckoutGuard — Forecast · Paym'!F5-'CheckoutGuard — Assumptions (2)'!B13</f>
        <v>-5491.40194671888</v>
      </c>
      <c r="F8" s="9">
        <f>'CheckoutGuard — Forecast · Chec'!G21-('CheckoutGuard — Forecast · Chec'!G25)*('CheckoutGuard — Assumptions (2)'!B12+'CheckoutGuard — Assumptions (2)'!B10*('CheckoutGuard — Assumptions · S'!B11-1))-('CheckoutGuard — Forecast · Chec'!G33)-'CheckoutGuard — Forecast · Paym'!G5-'CheckoutGuard — Assumptions (2)'!B13</f>
        <v>-5145.306920854563</v>
      </c>
      <c r="G8" s="9">
        <f>'CheckoutGuard — Forecast · Chec'!H21-('CheckoutGuard — Forecast · Chec'!H25)*('CheckoutGuard — Assumptions (2)'!B12+'CheckoutGuard — Assumptions (2)'!B10*('CheckoutGuard — Assumptions · S'!B11-1))-('CheckoutGuard — Forecast · Chec'!H33)-'CheckoutGuard — Forecast · Paym'!H5-'CheckoutGuard — Assumptions (2)'!B13</f>
        <v>-4790.327097393039</v>
      </c>
      <c r="H8" s="9">
        <f>'CheckoutGuard — Forecast · Chec'!I21-('CheckoutGuard — Forecast · Chec'!I25)*('CheckoutGuard — Assumptions (2)'!B12+'CheckoutGuard — Assumptions (2)'!B10*('CheckoutGuard — Assumptions · S'!B11-1))-('CheckoutGuard — Forecast · Chec'!I33)-'CheckoutGuard — Forecast · Paym'!I5-'CheckoutGuard — Assumptions (2)'!B13</f>
        <v>-4425.765637843566</v>
      </c>
      <c r="I8" s="9">
        <f>'CheckoutGuard — Forecast · Chec'!J21-('CheckoutGuard — Forecast · Chec'!J25)*('CheckoutGuard — Assumptions (2)'!B12+'CheckoutGuard — Assumptions (2)'!B10*('CheckoutGuard — Assumptions · S'!B11-1))-('CheckoutGuard — Forecast · Chec'!J33)-'CheckoutGuard — Forecast · Paym'!J5-'CheckoutGuard — Assumptions (2)'!B13</f>
        <v>-4050.898439749192</v>
      </c>
      <c r="J8" s="9">
        <f>'CheckoutGuard — Forecast · Chec'!K21-('CheckoutGuard — Forecast · Chec'!K25)*('CheckoutGuard — Assumptions (2)'!B12+'CheckoutGuard — Assumptions (2)'!B10*('CheckoutGuard — Assumptions · S'!B11-1))-('CheckoutGuard — Forecast · Chec'!K33)-'CheckoutGuard — Forecast · Paym'!K5-'CheckoutGuard — Assumptions (2)'!B13</f>
        <v>-3664.9725461496964</v>
      </c>
      <c r="K8" s="9">
        <f>'CheckoutGuard — Forecast · Chec'!L21-('CheckoutGuard — Forecast · Chec'!L25)*('CheckoutGuard — Assumptions (2)'!B12+'CheckoutGuard — Assumptions (2)'!B10*('CheckoutGuard — Assumptions · S'!B11-1))-('CheckoutGuard — Forecast · Chec'!L33)-'CheckoutGuard — Forecast · Paym'!L5-'CheckoutGuard — Assumptions (2)'!B13</f>
        <v>-3267.204482337835</v>
      </c>
      <c r="L8" s="9">
        <f>'CheckoutGuard — Forecast · Chec'!M21-('CheckoutGuard — Forecast · Chec'!M25)*('CheckoutGuard — Assumptions (2)'!B12+'CheckoutGuard — Assumptions (2)'!B10*('CheckoutGuard — Assumptions · S'!B11-1))-('CheckoutGuard — Forecast · Chec'!M33)-'CheckoutGuard — Forecast · Paym'!M5-'CheckoutGuard — Assumptions (2)'!B13</f>
        <v>-2856.778516068961</v>
      </c>
      <c r="M8" s="9">
        <f>'CheckoutGuard — Business pl (3)'!B6-('CheckoutGuard — Forecast · Chec'!N25)*('CheckoutGuard — Assumptions (2)'!B12+'CheckoutGuard — Assumptions (2)'!B10*('CheckoutGuard — Assumptions · S'!B11-1))-('CheckoutGuard — Forecast · Chec'!N33)-'CheckoutGuard — Forecast · Paym'!N5-'CheckoutGuard — Assumptions (2)'!B13</f>
        <v>-2432.844837198216</v>
      </c>
      <c r="N8" s="9">
        <f>'CheckoutGuard — Business pl (3)'!E6-('CheckoutGuard — Forecast · Chec'!O25)*('CheckoutGuard — Assumptions (2)'!B12+'CheckoutGuard — Assumptions (2)'!B10*('CheckoutGuard — Assumptions · S'!B11-1))-('CheckoutGuard — Forecast · Chec'!O33)-'CheckoutGuard — Forecast · Paym'!O5-'CheckoutGuard — Assumptions (2)'!B13</f>
        <v>-1994.5176525241595</v>
      </c>
      <c r="O8" s="9">
        <f>'CheckoutGuard — Business pl (3)'!H6-('CheckoutGuard — Forecast · Chec'!P25)*('CheckoutGuard — Assumptions (2)'!B12+'CheckoutGuard — Assumptions (2)'!B10*('CheckoutGuard — Assumptions · S'!B11-1))-('CheckoutGuard — Forecast · Chec'!P33)-'CheckoutGuard — Forecast · Paym'!P5-'CheckoutGuard — Assumptions (2)'!B13</f>
        <v>-1540.87319141242</v>
      </c>
      <c r="P8" s="9">
        <f>'CheckoutGuard — Business pl (3)'!K6-('CheckoutGuard — Forecast · Chec'!Q25)*('CheckoutGuard — Assumptions (2)'!B12+'CheckoutGuard — Assumptions (2)'!B10*('CheckoutGuard — Assumptions · S'!B11-1))-('CheckoutGuard — Forecast · Chec'!Q33)-'CheckoutGuard — Forecast · Paym'!Q5-'CheckoutGuard — Assumptions (2)'!B13</f>
        <v>-1070.9476175572308</v>
      </c>
      <c r="Q8" s="9">
        <f>'CheckoutGuard — Business pl (3)'!N6-('CheckoutGuard — Forecast · Chec'!R25)*('CheckoutGuard — Assumptions (2)'!B12+'CheckoutGuard — Assumptions (2)'!B10*('CheckoutGuard — Assumptions · S'!B11-1))-('CheckoutGuard — Forecast · Chec'!R33)-'CheckoutGuard — Forecast · Paym'!R5-'CheckoutGuard — Assumptions (2)'!B13</f>
        <v>-583.7348420120561</v>
      </c>
      <c r="R8" s="9">
        <f>'CheckoutGuard — Business pl (3)'!Q6-('CheckoutGuard — Forecast · Chec'!S25)*('CheckoutGuard — Assumptions (2)'!B12+'CheckoutGuard — Assumptions (2)'!B10*('CheckoutGuard — Assumptions · S'!B11-1))-('CheckoutGuard — Forecast · Chec'!S33)-'CheckoutGuard — Forecast · Paym'!S5-'CheckoutGuard — Assumptions (2)'!B13</f>
        <v>-78.18423238231571</v>
      </c>
      <c r="S8" s="9">
        <f>'CheckoutGuard — Business pl (3)'!T6-('CheckoutGuard — Forecast · Chec'!T25)*('CheckoutGuard — Assumptions (2)'!B12+'CheckoutGuard — Assumptions (2)'!B10*('CheckoutGuard — Assumptions · S'!B11-1))-('CheckoutGuard — Forecast · Chec'!T33)-'CheckoutGuard — Forecast · Paym'!T5-'CheckoutGuard — Assumptions (2)'!B13</f>
        <v>446.80178717700437</v>
      </c>
      <c r="T8" s="9">
        <f>'CheckoutGuard — Business pl (3)'!W6-('CheckoutGuard — Forecast · Chec'!U25)*('CheckoutGuard — Assumptions (2)'!B12+'CheckoutGuard — Assumptions (2)'!B10*('CheckoutGuard — Assumptions · S'!B11-1))-('CheckoutGuard — Forecast · Chec'!U33)-'CheckoutGuard — Forecast · Paym'!U5-'CheckoutGuard — Assumptions (2)'!B13</f>
        <v>992.3702507789358</v>
      </c>
      <c r="U8" s="9">
        <f>'CheckoutGuard — Business pl (3)'!Z6-('CheckoutGuard — Forecast · Chec'!V25)*('CheckoutGuard — Assumptions (2)'!B12+'CheckoutGuard — Assumptions (2)'!B10*('CheckoutGuard — Assumptions · S'!B11-1))-('CheckoutGuard — Forecast · Chec'!V33)-'CheckoutGuard — Forecast · Paym'!V5-'CheckoutGuard — Assumptions (2)'!B13</f>
        <v>1559.7202863336715</v>
      </c>
      <c r="V8" s="9">
        <f>'CheckoutGuard — Business pl (3)'!AC6-('CheckoutGuard — Forecast · Chec'!W25)*('CheckoutGuard — Assumptions (2)'!B12+'CheckoutGuard — Assumptions (2)'!B10*('CheckoutGuard — Assumptions · S'!B11-1))-('CheckoutGuard — Forecast · Chec'!W33)-'CheckoutGuard — Forecast · Paym'!W5-'CheckoutGuard — Assumptions (2)'!B13</f>
        <v>2150.1058779756713</v>
      </c>
      <c r="W8" s="9">
        <f>'CheckoutGuard — Business pl (3)'!AF6-('CheckoutGuard — Forecast · Chec'!X25)*('CheckoutGuard — Assumptions (2)'!B12+'CheckoutGuard — Assumptions (2)'!B10*('CheckoutGuard — Assumptions · S'!B11-1))-('CheckoutGuard — Forecast · Chec'!X33)-'CheckoutGuard — Forecast · Paym'!X5-'CheckoutGuard — Assumptions (2)'!B13</f>
        <v>2764.8387618800098</v>
      </c>
      <c r="X8" s="9">
        <f>'CheckoutGuard — Business pl (3)'!AI6-('CheckoutGuard — Forecast · Chec'!Y25)*('CheckoutGuard — Assumptions (2)'!B12+'CheckoutGuard — Assumptions (2)'!B10*('CheckoutGuard — Assumptions · S'!B11-1))-('CheckoutGuard — Forecast · Chec'!Y33)-'CheckoutGuard — Forecast · Paym'!Y5-'CheckoutGuard — Assumptions (2)'!B13</f>
        <v>3405.291462279396</v>
      </c>
      <c r="Y8" s="9">
        <f>'CheckoutGuard — Business pl (3)'!AL6-('CheckoutGuard — Forecast · Chec'!Z25)*('CheckoutGuard — Assumptions (2)'!B12+'CheckoutGuard — Assumptions (2)'!B10*('CheckoutGuard — Assumptions · S'!B11-1))-('CheckoutGuard — Forecast · Chec'!Z33)-'CheckoutGuard — Forecast · Paym'!Z5-'CheckoutGuard — Assumptions (2)'!B13</f>
        <v>4072.900474829592</v>
      </c>
    </row>
    <row r="9">
      <c r="A9" t="inlineStr" s="8">
        <is>
          <t xml:space="preserve">Support 2x operating result</t>
        </is>
      </c>
      <c r="B9" s="9">
        <f>'CheckoutGuard — Forecast · Chec'!C21-('CheckoutGuard — Forecast · Chec'!C25)*('CheckoutGuard — Assumptions (2)'!B12+'CheckoutGuard — Assumptions (2)'!B11*('CheckoutGuard — Assumptions · S'!B10-1))-('CheckoutGuard — Forecast · Chec'!C33*'CheckoutGuard — Assumptions · S'!B10)-'CheckoutGuard — Forecast · Paym'!C5-'CheckoutGuard — Assumptions (2)'!B13</f>
        <v>-6540.00916</v>
      </c>
      <c r="C9" s="9">
        <f>'CheckoutGuard — Forecast · Chec'!D21-('CheckoutGuard — Forecast · Chec'!D25)*('CheckoutGuard — Assumptions (2)'!B12+'CheckoutGuard — Assumptions (2)'!B11*('CheckoutGuard — Assumptions · S'!B10-1))-('CheckoutGuard — Forecast · Chec'!D33*'CheckoutGuard — Assumptions · S'!B10)-'CheckoutGuard — Forecast · Paym'!D5-'CheckoutGuard — Assumptions (2)'!B13</f>
        <v>-6274.8185032</v>
      </c>
      <c r="D9" s="9">
        <f>'CheckoutGuard — Forecast · Chec'!E21-('CheckoutGuard — Forecast · Chec'!E25)*('CheckoutGuard — Assumptions (2)'!B12+'CheckoutGuard — Assumptions (2)'!B11*('CheckoutGuard — Assumptions · S'!B10-1))-('CheckoutGuard — Forecast · Chec'!E33*'CheckoutGuard — Assumptions · S'!B10)-'CheckoutGuard — Forecast · Paym'!E5-'CheckoutGuard — Assumptions (2)'!B13</f>
        <v>-6003.934047004001</v>
      </c>
      <c r="E9" s="9">
        <f>'CheckoutGuard — Forecast · Chec'!F21-('CheckoutGuard — Forecast · Chec'!F25)*('CheckoutGuard — Assumptions (2)'!B12+'CheckoutGuard — Assumptions (2)'!B11*('CheckoutGuard — Assumptions · S'!B10-1))-('CheckoutGuard — Forecast · Chec'!F33*'CheckoutGuard — Assumptions · S'!B10)-'CheckoutGuard — Forecast · Paym'!F5-'CheckoutGuard — Assumptions (2)'!B13</f>
        <v>-5726.84412943888</v>
      </c>
      <c r="F9" s="9">
        <f>'CheckoutGuard — Forecast · Chec'!G21-('CheckoutGuard — Forecast · Chec'!G25)*('CheckoutGuard — Assumptions (2)'!B12+'CheckoutGuard — Assumptions (2)'!B11*('CheckoutGuard — Assumptions · S'!B10-1))-('CheckoutGuard — Forecast · Chec'!G33*'CheckoutGuard — Assumptions · S'!B10)-'CheckoutGuard — Forecast · Paym'!G5-'CheckoutGuard — Assumptions (2)'!B13</f>
        <v>-5443.018314592962</v>
      </c>
      <c r="G9" s="9">
        <f>'CheckoutGuard — Forecast · Chec'!H21-('CheckoutGuard — Forecast · Chec'!H25)*('CheckoutGuard — Assumptions (2)'!B12+'CheckoutGuard — Assumptions (2)'!B11*('CheckoutGuard — Assumptions · S'!B10-1))-('CheckoutGuard — Forecast · Chec'!H33*'CheckoutGuard — Assumptions · S'!B10)-'CheckoutGuard — Forecast · Paym'!H5-'CheckoutGuard — Assumptions (2)'!B13</f>
        <v>-5151.906249644287</v>
      </c>
      <c r="H9" s="9">
        <f>'CheckoutGuard — Forecast · Chec'!I21-('CheckoutGuard — Forecast · Chec'!I25)*('CheckoutGuard — Assumptions (2)'!B12+'CheckoutGuard — Assumptions (2)'!B11*('CheckoutGuard — Assumptions · S'!B10-1))-('CheckoutGuard — Forecast · Chec'!I33*'CheckoutGuard — Assumptions · S'!B10)-'CheckoutGuard — Forecast · Paym'!I5-'CheckoutGuard — Assumptions (2)'!B13</f>
        <v>-4852.936470868526</v>
      </c>
      <c r="I9" s="9">
        <f>'CheckoutGuard — Forecast · Chec'!J21-('CheckoutGuard — Forecast · Chec'!J25)*('CheckoutGuard — Assumptions (2)'!B12+'CheckoutGuard — Assumptions (2)'!B11*('CheckoutGuard — Assumptions · S'!B10-1))-('CheckoutGuard — Forecast · Chec'!J33*'CheckoutGuard — Assumptions · S'!B10)-'CheckoutGuard — Forecast · Paym'!J5-'CheckoutGuard — Assumptions (2)'!B13</f>
        <v>-4545.515155891717</v>
      </c>
      <c r="J9" s="9">
        <f>'CheckoutGuard — Forecast · Chec'!K21-('CheckoutGuard — Forecast · Chec'!K25)*('CheckoutGuard — Assumptions (2)'!B12+'CheckoutGuard — Assumptions (2)'!B11*('CheckoutGuard — Assumptions · S'!B10-1))-('CheckoutGuard — Forecast · Chec'!K33*'CheckoutGuard — Assumptions · S'!B10)-'CheckoutGuard — Forecast · Paym'!K5-'CheckoutGuard — Assumptions (2)'!B13</f>
        <v>-4229.024819321674</v>
      </c>
      <c r="K9" s="9">
        <f>'CheckoutGuard — Forecast · Chec'!L21-('CheckoutGuard — Forecast · Chec'!L25)*('CheckoutGuard — Assumptions (2)'!B12+'CheckoutGuard — Assumptions (2)'!B11*('CheckoutGuard — Assumptions · S'!B10-1))-('CheckoutGuard — Forecast · Chec'!L33*'CheckoutGuard — Assumptions · S'!B10)-'CheckoutGuard — Forecast · Paym'!L5-'CheckoutGuard — Assumptions (2)'!B13</f>
        <v>-3902.8229487540675</v>
      </c>
      <c r="L9" s="9">
        <f>'CheckoutGuard — Forecast · Chec'!M21-('CheckoutGuard — Forecast · Chec'!M25)*('CheckoutGuard — Assumptions (2)'!B12+'CheckoutGuard — Assumptions (2)'!B11*('CheckoutGuard — Assumptions · S'!B10-1))-('CheckoutGuard — Forecast · Chec'!M33*'CheckoutGuard — Assumptions · S'!B10)-'CheckoutGuard — Forecast · Paym'!M5-'CheckoutGuard — Assumptions (2)'!B13</f>
        <v>-3566.2405780040917</v>
      </c>
      <c r="M9" s="9">
        <f>'CheckoutGuard — Business pl (3)'!B6-('CheckoutGuard — Forecast · Chec'!N25)*('CheckoutGuard — Assumptions (2)'!B12+'CheckoutGuard — Assumptions (2)'!B11*('CheckoutGuard — Assumptions · S'!B10-1))-('CheckoutGuard — Forecast · Chec'!N33*'CheckoutGuard — Assumptions · S'!B10)-'CheckoutGuard — Forecast · Paym'!N5-'CheckoutGuard — Assumptions (2)'!B13</f>
        <v>-3218.580794262247</v>
      </c>
      <c r="N9" s="9">
        <f>'CheckoutGuard — Business pl (3)'!E6-('CheckoutGuard — Forecast · Chec'!O25)*('CheckoutGuard — Assumptions (2)'!B12+'CheckoutGuard — Assumptions (2)'!B11*('CheckoutGuard — Assumptions · S'!B10-1))-('CheckoutGuard — Forecast · Chec'!O33*'CheckoutGuard — Assumptions · S'!B10)-'CheckoutGuard — Forecast · Paym'!O5-'CheckoutGuard — Assumptions (2)'!B13</f>
        <v>-2859.1171757125717</v>
      </c>
      <c r="O9" s="9">
        <f>'CheckoutGuard — Business pl (3)'!H6-('CheckoutGuard — Forecast · Chec'!P25)*('CheckoutGuard — Assumptions (2)'!B12+'CheckoutGuard — Assumptions (2)'!B11*('CheckoutGuard — Assumptions · S'!B10-1))-('CheckoutGuard — Forecast · Chec'!P33*'CheckoutGuard — Assumptions · S'!B10)-'CheckoutGuard — Forecast · Paym'!P5-'CheckoutGuard — Assumptions (2)'!B13</f>
        <v>-2487.092155983297</v>
      </c>
      <c r="P9" s="9">
        <f>'CheckoutGuard — Business pl (3)'!K6-('CheckoutGuard — Forecast · Chec'!Q25)*('CheckoutGuard — Assumptions (2)'!B12+'CheckoutGuard — Assumptions (2)'!B11*('CheckoutGuard — Assumptions · S'!B10-1))-('CheckoutGuard — Forecast · Chec'!Q33*'CheckoutGuard — Assumptions · S'!B10)-'CheckoutGuard — Forecast · Paym'!Q5-'CheckoutGuard — Assumptions (2)'!B13</f>
        <v>-2101.7153116230056</v>
      </c>
      <c r="Q9" s="9">
        <f>'CheckoutGuard — Business pl (3)'!N6-('CheckoutGuard — Forecast · Chec'!R25)*('CheckoutGuard — Assumptions (2)'!B12+'CheckoutGuard — Assumptions (2)'!B11*('CheckoutGuard — Assumptions · S'!B10-1))-('CheckoutGuard — Forecast · Chec'!R33*'CheckoutGuard — Assumptions · S'!B10)-'CheckoutGuard — Forecast · Paym'!R5-'CheckoutGuard — Assumptions (2)'!B13</f>
        <v>-1702.161568609482</v>
      </c>
      <c r="R9" s="9">
        <f>'CheckoutGuard — Business pl (3)'!Q6-('CheckoutGuard — Forecast · Chec'!S25)*('CheckoutGuard — Assumptions (2)'!B12+'CheckoutGuard — Assumptions (2)'!B11*('CheckoutGuard — Assumptions · S'!B10-1))-('CheckoutGuard — Forecast · Chec'!S33*'CheckoutGuard — Assumptions · S'!B10)-'CheckoutGuard — Forecast · Paym'!S5-'CheckoutGuard — Assumptions (2)'!B13</f>
        <v>-1287.5693237031246</v>
      </c>
      <c r="S9" s="9">
        <f>'CheckoutGuard — Business pl (3)'!T6-('CheckoutGuard — Forecast · Chec'!T25)*('CheckoutGuard — Assumptions (2)'!B12+'CheckoutGuard — Assumptions (2)'!B11*('CheckoutGuard — Assumptions · S'!B10-1))-('CheckoutGuard — Forecast · Chec'!T33*'CheckoutGuard — Assumptions · S'!B10)-'CheckoutGuard — Forecast · Paym'!T5-'CheckoutGuard — Assumptions (2)'!B13</f>
        <v>-857.0384762515514</v>
      </c>
      <c r="T9" s="9">
        <f>'CheckoutGuard — Business pl (3)'!W6-('CheckoutGuard — Forecast · Chec'!U25)*('CheckoutGuard — Assumptions (2)'!B12+'CheckoutGuard — Assumptions (2)'!B11*('CheckoutGuard — Assumptions · S'!B10-1))-('CheckoutGuard — Forecast · Chec'!U33*'CheckoutGuard — Assumptions · S'!B10)-'CheckoutGuard — Forecast · Paym'!U5-'CheckoutGuard — Assumptions (2)'!B13</f>
        <v>-409.6283658365028</v>
      </c>
      <c r="U9" s="9">
        <f>'CheckoutGuard — Business pl (3)'!Z6-('CheckoutGuard — Forecast · Chec'!V25)*('CheckoutGuard — Assumptions (2)'!B12+'CheckoutGuard — Assumptions (2)'!B11*('CheckoutGuard — Assumptions · S'!B10-1))-('CheckoutGuard — Forecast · Chec'!V33*'CheckoutGuard — Assumptions · S'!B10)-'CheckoutGuard — Forecast · Paym'!V5-'CheckoutGuard — Assumptions (2)'!B13</f>
        <v>55.644389072467675</v>
      </c>
      <c r="V9" s="9">
        <f>'CheckoutGuard — Business pl (3)'!AC6-('CheckoutGuard — Forecast · Chec'!W25)*('CheckoutGuard — Assumptions (2)'!B12+'CheckoutGuard — Assumptions (2)'!B11*('CheckoutGuard — Assumptions · S'!B10-1))-('CheckoutGuard — Forecast · Chec'!W33*'CheckoutGuard — Assumptions · S'!B10)-'CheckoutGuard — Forecast · Paym'!W5-'CheckoutGuard — Assumptions (2)'!B13</f>
        <v>539.8081565308657</v>
      </c>
      <c r="W9" s="9">
        <f>'CheckoutGuard — Business pl (3)'!AF6-('CheckoutGuard — Forecast · Chec'!X25)*('CheckoutGuard — Assumptions (2)'!B12+'CheckoutGuard — Assumptions (2)'!B11*('CheckoutGuard — Assumptions · S'!B10-1))-('CheckoutGuard — Forecast · Chec'!X33*'CheckoutGuard — Assumptions · S'!B10)-'CheckoutGuard — Forecast · Paym'!X5-'CheckoutGuard — Assumptions (2)'!B13</f>
        <v>1043.9386659220381</v>
      </c>
      <c r="X9" s="9">
        <f>'CheckoutGuard — Business pl (3)'!AI6-('CheckoutGuard — Forecast · Chec'!Y25)*('CheckoutGuard — Assumptions (2)'!B12+'CheckoutGuard — Assumptions (2)'!B11*('CheckoutGuard — Assumptions · S'!B10-1))-('CheckoutGuard — Forecast · Chec'!Y33*'CheckoutGuard — Assumptions · S'!B10)-'CheckoutGuard — Forecast · Paym'!Y5-'CheckoutGuard — Assumptions (2)'!B13</f>
        <v>1569.1614977358313</v>
      </c>
      <c r="Y9" s="9">
        <f>'CheckoutGuard — Business pl (3)'!AL6-('CheckoutGuard — Forecast · Chec'!Z25)*('CheckoutGuard — Assumptions (2)'!B12+'CheckoutGuard — Assumptions (2)'!B11*('CheckoutGuard — Assumptions · S'!B10-1))-('CheckoutGuard — Forecast · Chec'!Z33*'CheckoutGuard — Assumptions · S'!B10)-'CheckoutGuard — Forecast · Paym'!Z5-'CheckoutGuard — Assumptions (2)'!B13</f>
        <v>2116.654694184783</v>
      </c>
    </row>
    <row r="10">
      <c r="A10" t="inlineStr" s="5">
        <is>
          <t xml:space="preserve">Full quota usage operating result</t>
        </is>
      </c>
      <c r="B10" s="6">
        <f>'CheckoutGuard — Forecast · Chec'!C21-('CheckoutGuard — Forecast · Chec'!C25*'CheckoutGuard — Assumptions · S'!B9)*('CheckoutGuard — Assumptions (2)'!B12)-('CheckoutGuard — Forecast · Chec'!C33)-'CheckoutGuard — Forecast · Paym'!C5-'CheckoutGuard — Assumptions (2)'!B13</f>
        <v>-6500.00332</v>
      </c>
      <c r="C10" s="6">
        <f>'CheckoutGuard — Forecast · Chec'!D21-('CheckoutGuard — Forecast · Chec'!D25*'CheckoutGuard — Assumptions · S'!B9)*('CheckoutGuard — Assumptions (2)'!B12)-('CheckoutGuard — Forecast · Chec'!D33)-'CheckoutGuard — Forecast · Paym'!D5-'CheckoutGuard — Assumptions (2)'!B13</f>
        <v>-6194.0067063999995</v>
      </c>
      <c r="D10" s="6">
        <f>'CheckoutGuard — Forecast · Chec'!E21-('CheckoutGuard — Forecast · Chec'!E25*'CheckoutGuard — Assumptions · S'!B9)*('CheckoutGuard — Assumptions (2)'!B12)-('CheckoutGuard — Forecast · Chec'!E33)-'CheckoutGuard — Forecast · Paym'!E5-'CheckoutGuard — Assumptions (2)'!B13</f>
        <v>-5881.440165508</v>
      </c>
      <c r="E10" s="6">
        <f>'CheckoutGuard — Forecast · Chec'!F21-('CheckoutGuard — Forecast · Chec'!F25*'CheckoutGuard — Assumptions · S'!B9)*('CheckoutGuard — Assumptions (2)'!B12)-('CheckoutGuard — Forecast · Chec'!F33)-'CheckoutGuard — Forecast · Paym'!F5-'CheckoutGuard — Assumptions (2)'!B13</f>
        <v>-5561.7133038577595</v>
      </c>
      <c r="F10" s="6">
        <f>'CheckoutGuard — Forecast · Chec'!G21-('CheckoutGuard — Forecast · Chec'!G25*'CheckoutGuard — Assumptions · S'!B9)*('CheckoutGuard — Assumptions (2)'!B12)-('CheckoutGuard — Forecast · Chec'!G33)-'CheckoutGuard — Forecast · Paym'!G5-'CheckoutGuard — Assumptions (2)'!B13</f>
        <v>-5234.214065222776</v>
      </c>
      <c r="G10" s="6">
        <f>'CheckoutGuard — Forecast · Chec'!H21-('CheckoutGuard — Forecast · Chec'!H25*'CheckoutGuard — Assumptions · S'!B9)*('CheckoutGuard — Assumptions (2)'!B12)-('CheckoutGuard — Forecast · Chec'!H33)-'CheckoutGuard — Forecast · Paym'!H5-'CheckoutGuard — Assumptions (2)'!B13</f>
        <v>-4898.307411770881</v>
      </c>
      <c r="H10" s="6">
        <f>'CheckoutGuard — Forecast · Chec'!I21-('CheckoutGuard — Forecast · Chec'!I25*'CheckoutGuard — Assumptions · S'!B9)*('CheckoutGuard — Assumptions (2)'!B12)-('CheckoutGuard — Forecast · Chec'!I33)-'CheckoutGuard — Forecast · Paym'!I5-'CheckoutGuard — Assumptions (2)'!B13</f>
        <v>-4553.333946347781</v>
      </c>
      <c r="I10" s="6">
        <f>'CheckoutGuard — Forecast · Chec'!J21-('CheckoutGuard — Forecast · Chec'!J25*'CheckoutGuard — Assumptions · S'!B9)*('CheckoutGuard — Assumptions (2)'!B12)-('CheckoutGuard — Forecast · Chec'!J33)-'CheckoutGuard — Forecast · Paym'!J5-'CheckoutGuard — Assumptions (2)'!B13</f>
        <v>-4198.608472733876</v>
      </c>
      <c r="J10" s="6">
        <f>'CheckoutGuard — Forecast · Chec'!K21-('CheckoutGuard — Forecast · Chec'!K25*'CheckoutGuard — Assumptions · S'!B9)*('CheckoutGuard — Assumptions (2)'!B12)-('CheckoutGuard — Forecast · Chec'!K33)-'CheckoutGuard — Forecast · Paym'!K5-'CheckoutGuard — Assumptions (2)'!B13</f>
        <v>-3833.4184905672137</v>
      </c>
      <c r="K10" s="6">
        <f>'CheckoutGuard — Forecast · Chec'!L21-('CheckoutGuard — Forecast · Chec'!L25*'CheckoutGuard — Assumptions · S'!B9)*('CheckoutGuard — Assumptions (2)'!B12)-('CheckoutGuard — Forecast · Chec'!L33)-'CheckoutGuard — Forecast · Paym'!L5-'CheckoutGuard — Assumptions (2)'!B13</f>
        <v>-3457.0226214663194</v>
      </c>
      <c r="L10" s="6">
        <f>'CheckoutGuard — Forecast · Chec'!M21-('CheckoutGuard — Forecast · Chec'!M25*'CheckoutGuard — Assumptions · S'!B9)*('CheckoutGuard — Assumptions (2)'!B12)-('CheckoutGuard — Forecast · Chec'!M33)-'CheckoutGuard — Forecast · Paym'!M5-'CheckoutGuard — Assumptions (2)'!B13</f>
        <v>-3068.6489627192577</v>
      </c>
      <c r="M10" s="6">
        <f>'CheckoutGuard — Business pl (3)'!B6-('CheckoutGuard — Forecast · Chec'!N25*'CheckoutGuard — Assumptions · S'!B9)*('CheckoutGuard — Assumptions (2)'!B12)-('CheckoutGuard — Forecast · Chec'!N33)-'CheckoutGuard — Forecast · Paym'!N5-'CheckoutGuard — Assumptions (2)'!B13</f>
        <v>-2667.4933647294547</v>
      </c>
      <c r="N10" s="6">
        <f>'CheckoutGuard — Business pl (3)'!E6-('CheckoutGuard — Forecast · Chec'!O25*'CheckoutGuard — Assumptions · S'!B9)*('CheckoutGuard — Assumptions (2)'!B12)-('CheckoutGuard — Forecast · Chec'!O33)-'CheckoutGuard — Forecast · Paym'!O5-'CheckoutGuard — Assumptions (2)'!B13</f>
        <v>-2252.7176282239334</v>
      </c>
      <c r="O10" s="6">
        <f>'CheckoutGuard — Business pl (3)'!H6-('CheckoutGuard — Forecast · Chec'!P25*'CheckoutGuard — Assumptions · S'!B9)*('CheckoutGuard — Assumptions (2)'!B12)-('CheckoutGuard — Forecast · Chec'!P33)-'CheckoutGuard — Forecast · Paym'!P5-'CheckoutGuard — Assumptions (2)'!B13</f>
        <v>-1823.4476170353973</v>
      </c>
      <c r="P10" s="6">
        <f>'CheckoutGuard — Business pl (3)'!K6-('CheckoutGuard — Forecast · Chec'!Q25*'CheckoutGuard — Assumptions · S'!B9)*('CheckoutGuard — Assumptions (2)'!B12)-('CheckoutGuard — Forecast · Chec'!Q33)-'CheckoutGuard — Forecast · Paym'!Q5-'CheckoutGuard — Assumptions (2)'!B13</f>
        <v>-1378.771282065426</v>
      </c>
      <c r="Q10" s="6">
        <f>'CheckoutGuard — Business pl (3)'!N6-('CheckoutGuard — Forecast · Chec'!R25*'CheckoutGuard — Assumptions · S'!B9)*('CheckoutGuard — Assumptions (2)'!B12)-('CheckoutGuard — Forecast · Chec'!R33)-'CheckoutGuard — Forecast · Paym'!R5-'CheckoutGuard — Assumptions (2)'!B13</f>
        <v>-917.7365918216074</v>
      </c>
      <c r="R10" s="6">
        <f>'CheckoutGuard — Business pl (3)'!Q6-('CheckoutGuard — Forecast · Chec'!S25*'CheckoutGuard — Assumptions · S'!B9)*('CheckoutGuard — Assumptions (2)'!B12)-('CheckoutGuard — Forecast · Chec'!S33)-'CheckoutGuard — Forecast · Paym'!S5-'CheckoutGuard — Assumptions (2)'!B13</f>
        <v>-439.34936469601234</v>
      </c>
      <c r="S10" s="6">
        <f>'CheckoutGuard — Business pl (3)'!T6-('CheckoutGuard — Forecast · Chec'!T25*'CheckoutGuard — Assumptions · S'!B9)*('CheckoutGuard — Assumptions (2)'!B12)-('CheckoutGuard — Forecast · Chec'!T33)-'CheckoutGuard — Forecast · Paym'!T5-'CheckoutGuard — Assumptions (2)'!B13</f>
        <v>57.429002084363674</v>
      </c>
      <c r="T10" s="6">
        <f>'CheckoutGuard — Business pl (3)'!W6-('CheckoutGuard — Forecast · Chec'!U25*'CheckoutGuard — Assumptions · S'!B9)*('CheckoutGuard — Assumptions (2)'!B12)-('CheckoutGuard — Forecast · Chec'!U33)-'CheckoutGuard — Forecast · Paym'!U5-'CheckoutGuard — Assumptions (2)'!B13</f>
        <v>573.6839121533039</v>
      </c>
      <c r="U10" s="6">
        <f>'CheckoutGuard — Business pl (3)'!Z6-('CheckoutGuard — Forecast · Chec'!V25*'CheckoutGuard — Assumptions · S'!B9)*('CheckoutGuard — Assumptions (2)'!B12)-('CheckoutGuard — Forecast · Chec'!V33)-'CheckoutGuard — Forecast · Paym'!V5-'CheckoutGuard — Assumptions (2)'!B13</f>
        <v>1110.5500639267484</v>
      </c>
      <c r="V10" s="6">
        <f>'CheckoutGuard — Business pl (3)'!AC6-('CheckoutGuard — Forecast · Chec'!W25*'CheckoutGuard — Assumptions · S'!B9)*('CheckoutGuard — Assumptions (2)'!B12)-('CheckoutGuard — Forecast · Chec'!W33)-'CheckoutGuard — Forecast · Paym'!W5-'CheckoutGuard — Assumptions (2)'!B13</f>
        <v>1669.2140646038915</v>
      </c>
      <c r="W10" s="6">
        <f>'CheckoutGuard — Business pl (3)'!AF6-('CheckoutGuard — Forecast · Chec'!X25*'CheckoutGuard — Assumptions · S'!B9)*('CheckoutGuard — Assumptions (2)'!B12)-('CheckoutGuard — Forecast · Chec'!X33)-'CheckoutGuard — Forecast · Paym'!X5-'CheckoutGuard — Assumptions (2)'!B13</f>
        <v>2250.9171703904685</v>
      </c>
      <c r="X10" s="6">
        <f>'CheckoutGuard — Business pl (3)'!AI6-('CheckoutGuard — Forecast · Chec'!Y25*'CheckoutGuard — Assumptions · S'!B9)*('CheckoutGuard — Assumptions (2)'!B12)-('CheckoutGuard — Forecast · Chec'!Y33)-'CheckoutGuard — Forecast · Paym'!Y5-'CheckoutGuard — Assumptions (2)'!B13</f>
        <v>2856.958159389682</v>
      </c>
      <c r="Y10" s="6">
        <f>'CheckoutGuard — Business pl (3)'!AL6-('CheckoutGuard — Forecast · Chec'!Z25*'CheckoutGuard — Assumptions · S'!B9)*('CheckoutGuard — Assumptions (2)'!B12)-('CheckoutGuard — Forecast · Chec'!Z33)-'CheckoutGuard — Forecast · Paym'!Z5-'CheckoutGuard — Assumptions (2)'!B13</f>
        <v>3488.696343924463</v>
      </c>
    </row>
  </sheetData>
  <mergeCells count="1">
    <mergeCell ref="A1:Y1"/>
  </mergeCells>
</worksheet>
</file>

<file path=xl/worksheets/sheet11.xml><?xml version="1.0" encoding="utf-8"?>
<worksheet xmlns="http://schemas.openxmlformats.org/spreadsheetml/2006/main">
  <dimension ref="A1:AK43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  <col min="34" max="34" width="19" customWidth="1"/>
    <col min="35" max="35" width="19" customWidth="1"/>
    <col min="36" max="36" width="19" customWidth="1"/>
    <col min="37" max="3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2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2026-09</t>
        </is>
      </c>
      <c r="C5" t="inlineStr" s="17">
        <is>
          <t xml:space="preserve">2026-10</t>
        </is>
      </c>
      <c r="D5" t="inlineStr" s="4">
        <is>
          <t xml:space="preserve">2026-11</t>
        </is>
      </c>
      <c r="E5" t="inlineStr" s="4">
        <is>
          <t xml:space="preserve">2026-12</t>
        </is>
      </c>
      <c r="F5" t="inlineStr" s="17">
        <is>
          <t xml:space="preserve">2027-01</t>
        </is>
      </c>
      <c r="G5" t="inlineStr" s="4">
        <is>
          <t xml:space="preserve">2027-02</t>
        </is>
      </c>
      <c r="H5" t="inlineStr" s="4">
        <is>
          <t xml:space="preserve">2027-03</t>
        </is>
      </c>
      <c r="I5" t="inlineStr" s="17">
        <is>
          <t xml:space="preserve">2027-04</t>
        </is>
      </c>
      <c r="J5" t="inlineStr" s="4">
        <is>
          <t xml:space="preserve">2027-05</t>
        </is>
      </c>
      <c r="K5" t="inlineStr" s="4">
        <is>
          <t xml:space="preserve">2027-06</t>
        </is>
      </c>
      <c r="L5" t="inlineStr" s="17">
        <is>
          <t xml:space="preserve">2027-07</t>
        </is>
      </c>
      <c r="M5" t="inlineStr" s="4">
        <is>
          <t xml:space="preserve">2027-08</t>
        </is>
      </c>
      <c r="N5" t="inlineStr" s="4">
        <is>
          <t xml:space="preserve">2027-09</t>
        </is>
      </c>
      <c r="O5" t="inlineStr" s="17">
        <is>
          <t xml:space="preserve">2027-10</t>
        </is>
      </c>
      <c r="P5" t="inlineStr" s="4">
        <is>
          <t xml:space="preserve">2027-11</t>
        </is>
      </c>
      <c r="Q5" t="inlineStr" s="4">
        <is>
          <t xml:space="preserve">2027-12</t>
        </is>
      </c>
      <c r="R5" t="inlineStr" s="17">
        <is>
          <t xml:space="preserve">2028-01</t>
        </is>
      </c>
      <c r="S5" t="inlineStr" s="4">
        <is>
          <t xml:space="preserve">2028-02</t>
        </is>
      </c>
      <c r="T5" t="inlineStr" s="4">
        <is>
          <t xml:space="preserve">2028-03</t>
        </is>
      </c>
      <c r="U5" t="inlineStr" s="17">
        <is>
          <t xml:space="preserve">2028-04</t>
        </is>
      </c>
      <c r="V5" t="inlineStr" s="4">
        <is>
          <t xml:space="preserve">2028-05</t>
        </is>
      </c>
      <c r="W5" t="inlineStr" s="4">
        <is>
          <t xml:space="preserve">2028-06</t>
        </is>
      </c>
      <c r="X5" t="inlineStr" s="17">
        <is>
          <t xml:space="preserve">2028-07</t>
        </is>
      </c>
      <c r="Y5" t="inlineStr" s="4">
        <is>
          <t xml:space="preserve">2028-08</t>
        </is>
      </c>
      <c r="Z5" t="inlineStr" s="4">
        <is>
          <t xml:space="preserve">2028-09</t>
        </is>
      </c>
      <c r="AA5" t="inlineStr" s="17">
        <is>
          <t xml:space="preserve">2028-10</t>
        </is>
      </c>
      <c r="AB5" t="inlineStr" s="4">
        <is>
          <t xml:space="preserve">Value</t>
        </is>
      </c>
      <c r="AC5" t="inlineStr" s="4">
        <is>
          <t xml:space="preserve">Value</t>
        </is>
      </c>
      <c r="AD5" t="inlineStr" s="17">
        <is>
          <t xml:space="preserve">2026-01</t>
        </is>
      </c>
      <c r="AE5" t="inlineStr" s="4">
        <is>
          <t xml:space="preserve">2026-02</t>
        </is>
      </c>
      <c r="AF5" t="inlineStr" s="4">
        <is>
          <t xml:space="preserve">2026-03</t>
        </is>
      </c>
      <c r="AG5" t="inlineStr" s="17">
        <is>
          <t xml:space="preserve">2026-04</t>
        </is>
      </c>
      <c r="AH5" t="inlineStr" s="4">
        <is>
          <t xml:space="preserve">2026-05</t>
        </is>
      </c>
      <c r="AI5" t="inlineStr" s="4">
        <is>
          <t xml:space="preserve">2026-06</t>
        </is>
      </c>
      <c r="AJ5" t="inlineStr" s="17">
        <is>
          <t xml:space="preserve">2026-07</t>
        </is>
      </c>
      <c r="AK5" t="inlineStr" s="4">
        <is>
          <t xml:space="preserve">2026-08</t>
        </is>
      </c>
    </row>
    <row r="6">
      <c r="A6" t="inlineStr" s="23">
        <is>
          <t xml:space="preserve">Active subscriptions</t>
        </is>
      </c>
      <c r="B6" s="6">
        <f>SUM('Model inputs'!B7,'Model inputs'!B8,'Model inputs'!B9)</f>
        <v>0</v>
      </c>
      <c r="C6" s="6">
        <f>SUM('Model inputs'!C7,'Model inputs'!C8,'Model inputs'!C9)</f>
        <v>0</v>
      </c>
      <c r="D6" s="6">
        <f>SUM('Model inputs'!D7,'Model inputs'!D8,'Model inputs'!D9)</f>
        <v>4.5</v>
      </c>
      <c r="E6" s="6">
        <f>SUM('Model inputs'!E7,'Model inputs'!E8,'Model inputs'!E9)</f>
        <v>9.09</v>
      </c>
      <c r="F6" s="6">
        <f>SUM('Model inputs'!F7,'Model inputs'!F8,'Model inputs'!F9)</f>
        <v>13.77855</v>
      </c>
      <c r="G6" s="6">
        <f>SUM('Model inputs'!G7,'Model inputs'!G8,'Model inputs'!G9)</f>
        <v>18.574506</v>
      </c>
      <c r="H6" s="6">
        <f>SUM('Model inputs'!H7,'Model inputs'!H8,'Model inputs'!H9)</f>
        <v>23.487048945000005</v>
      </c>
      <c r="I6" s="6">
        <f>SUM('Model inputs'!I7,'Model inputs'!I8,'Model inputs'!I9)</f>
        <v>28.525704507900002</v>
      </c>
      <c r="J6" s="6">
        <f>SUM('Model inputs'!J7,'Model inputs'!J8,'Model inputs'!J9)</f>
        <v>33.70036375547551</v>
      </c>
      <c r="K6" s="6">
        <f>SUM('Model inputs'!K7,'Model inputs'!K8,'Model inputs'!K9)</f>
        <v>39.02130474476438</v>
      </c>
      <c r="L6" s="6">
        <f>SUM('Model inputs'!L7,'Model inputs'!L8,'Model inputs'!L9)</f>
        <v>44.49921509947223</v>
      </c>
      <c r="M6" s="6">
        <f>SUM('Model inputs'!M7,'Model inputs'!M8,'Model inputs'!M9)</f>
        <v>50.14521561839139</v>
      </c>
      <c r="N6" s="6">
        <f>SUM('Model inputs'!N7,'Model inputs'!N8,'Model inputs'!N9)</f>
        <v>55.97088497033813</v>
      </c>
      <c r="O6" s="6">
        <f>SUM('Model inputs'!O7,'Model inputs'!O8,'Model inputs'!O9)</f>
        <v>61.988285532751405</v>
      </c>
      <c r="P6" s="6">
        <f>SUM('Model inputs'!P7,'Model inputs'!P8,'Model inputs'!P9)</f>
        <v>68.20999043386846</v>
      </c>
      <c r="Q6" s="6">
        <f>SUM('Model inputs'!Q7,'Model inputs'!Q8,'Model inputs'!Q9)</f>
        <v>74.64911186130696</v>
      </c>
      <c r="R6" s="6">
        <f>SUM('Model inputs'!R7,'Model inputs'!R8,'Model inputs'!R9)</f>
        <v>81.31933070294505</v>
      </c>
      <c r="S6" s="6">
        <f>SUM('Model inputs'!S7,'Model inputs'!S8,'Model inputs'!S9)</f>
        <v>88.23492758920787</v>
      </c>
      <c r="T6" s="6">
        <f>SUM('Model inputs'!T7,'Model inputs'!T8,'Model inputs'!T9)</f>
        <v>95.41081540925036</v>
      </c>
      <c r="U6" s="6">
        <f>SUM('Model inputs'!U7,'Model inputs'!U8,'Model inputs'!U9)</f>
        <v>102.86257337707751</v>
      </c>
      <c r="V6" s="6">
        <f>SUM('Model inputs'!V7,'Model inputs'!V8,'Model inputs'!V9)</f>
        <v>110.60648272737507</v>
      </c>
      <c r="W6" s="6">
        <f>SUM('Model inputs'!W7,'Model inputs'!W8,'Model inputs'!W9)</f>
        <v>118.6595641247442</v>
      </c>
      <c r="X6" s="6">
        <f>SUM('Model inputs'!X7,'Model inputs'!X8,'Model inputs'!X9)</f>
        <v>127.03961687415178</v>
      </c>
      <c r="Y6" s="6">
        <f>SUM('Model inputs'!Y7,'Model inputs'!Y8,'Model inputs'!Y9)</f>
        <v>135.76526002473463</v>
      </c>
      <c r="Z6" s="6">
        <f>SUM('Model inputs'!Z7,'Model inputs'!Z8,'Model inputs'!Z9)</f>
        <v>144.85597546364033</v>
      </c>
      <c r="AA6" s="6">
        <f>SUM('Model inputs'!AA7,'Model inputs'!AA8,'Model inputs'!AA9)</f>
        <v>154.33215310136129</v>
      </c>
    </row>
    <row r="7" outlineLevel="1">
      <c r="A7" t="inlineStr" s="24">
        <is>
          <t xml:space="preserve">Active subscriptions &gt; Agency</t>
        </is>
      </c>
      <c r="B7" s="9">
        <f>'Model inputs'!AK173+'Model inputs'!B65-'Model inputs'!B48</f>
        <v>0</v>
      </c>
      <c r="C7" s="9">
        <f>'CheckoutGuard — Forecast · Chec'!B18</f>
        <v>0</v>
      </c>
      <c r="D7" s="9">
        <f>'Model inputs'!C7+'Model inputs'!D65-'Model inputs'!D48</f>
        <v>0.5</v>
      </c>
      <c r="E7" s="9">
        <f>'Model inputs'!D7+'Model inputs'!E65-'Model inputs'!E48</f>
        <v>1.01</v>
      </c>
      <c r="F7" s="9">
        <f>'Model inputs'!E7+'Model inputs'!F65-'Model inputs'!F48</f>
        <v>1.53095</v>
      </c>
      <c r="G7" s="9">
        <f>'Model inputs'!F7+'Model inputs'!G65-'Model inputs'!G48</f>
        <v>2.063834</v>
      </c>
      <c r="H7" s="9">
        <f>'Model inputs'!G7+'Model inputs'!H65-'Model inputs'!H48</f>
        <v>2.6096721050000005</v>
      </c>
      <c r="I7" s="9">
        <f>'Model inputs'!H7+'Model inputs'!I65-'Model inputs'!I48</f>
        <v>3.1695227231000005</v>
      </c>
      <c r="J7" s="9">
        <f>'Model inputs'!I7+'Model inputs'!J65-'Model inputs'!J48</f>
        <v>3.744484861719501</v>
      </c>
      <c r="K7" s="9">
        <f>'Model inputs'!J7+'Model inputs'!K65-'Model inputs'!K48</f>
        <v>4.335700527196042</v>
      </c>
      <c r="L7" s="9">
        <f>'Model inputs'!K7+'Model inputs'!L65-'Model inputs'!L48</f>
        <v>4.944357233274692</v>
      </c>
      <c r="M7" s="9">
        <f>'Model inputs'!L7+'Model inputs'!M65-'Model inputs'!M48</f>
        <v>5.57169062426571</v>
      </c>
      <c r="N7" s="9">
        <f>'Model inputs'!M7+'Model inputs'!N65-'Model inputs'!N48</f>
        <v>6.2189872189264594</v>
      </c>
      <c r="O7" s="9">
        <f>'Model inputs'!N7+'Model inputs'!O65-'Model inputs'!O48</f>
        <v>6.887587281416823</v>
      </c>
      <c r="P7" s="9">
        <f>'Model inputs'!O7+'Model inputs'!P65-'Model inputs'!P48</f>
        <v>7.578887825985384</v>
      </c>
      <c r="Q7" s="9">
        <f>'Model inputs'!P7+'Model inputs'!Q65-'Model inputs'!Q48</f>
        <v>8.29434576236744</v>
      </c>
      <c r="R7" s="9">
        <f>'Model inputs'!Q7+'Model inputs'!R65-'Model inputs'!R48</f>
        <v>9.035481189216117</v>
      </c>
      <c r="S7" s="9">
        <f>'Model inputs'!R7+'Model inputs'!S65-'Model inputs'!S48</f>
        <v>9.803880843245318</v>
      </c>
      <c r="T7" s="9">
        <f>'Model inputs'!S7+'Model inputs'!T65-'Model inputs'!T48</f>
        <v>10.601201712138929</v>
      </c>
      <c r="U7" s="9">
        <f>'Model inputs'!T7+'Model inputs'!U65-'Model inputs'!U48</f>
        <v>11.429174819675278</v>
      </c>
      <c r="V7" s="9">
        <f>'Model inputs'!U7+'Model inputs'!V65-'Model inputs'!V48</f>
        <v>12.289609191930563</v>
      </c>
      <c r="W7" s="9">
        <f>'Model inputs'!V7+'Model inputs'!W65-'Model inputs'!W48</f>
        <v>13.184396013860466</v>
      </c>
      <c r="X7" s="9">
        <f>'Model inputs'!W7+'Model inputs'!X65-'Model inputs'!X48</f>
        <v>14.115512986016864</v>
      </c>
      <c r="Y7" s="9">
        <f>'Model inputs'!X7+'Model inputs'!Y65-'Model inputs'!Y48</f>
        <v>15.08502889163718</v>
      </c>
      <c r="Z7" s="9">
        <f>'Model inputs'!Y7+'Model inputs'!Z65-'Model inputs'!Z48</f>
        <v>16.095108384848928</v>
      </c>
      <c r="AA7" s="9">
        <f>'Model inputs'!Z7+'Model inputs'!AA65-'Model inputs'!AA48</f>
        <v>17.148017011262365</v>
      </c>
    </row>
    <row r="8" outlineLevel="1">
      <c r="A8" t="inlineStr" s="24">
        <is>
          <t xml:space="preserve">Active subscriptions &gt; Developer</t>
        </is>
      </c>
      <c r="B8" s="9">
        <f>'Model inputs'!AK174+'Model inputs'!B66-'Model inputs'!B49</f>
        <v>0</v>
      </c>
      <c r="C8" s="9">
        <f>'CheckoutGuard — Forecast · Chec'!B19</f>
        <v>0</v>
      </c>
      <c r="D8" s="9">
        <f>'Model inputs'!C8+'Model inputs'!D66-'Model inputs'!D49</f>
        <v>2</v>
      </c>
      <c r="E8" s="9">
        <f>'Model inputs'!D8+'Model inputs'!E66-'Model inputs'!E49</f>
        <v>4.04</v>
      </c>
      <c r="F8" s="9">
        <f>'Model inputs'!E8+'Model inputs'!F66-'Model inputs'!F49</f>
        <v>6.1238</v>
      </c>
      <c r="G8" s="9">
        <f>'Model inputs'!F8+'Model inputs'!G66-'Model inputs'!G49</f>
        <v>8.255336</v>
      </c>
      <c r="H8" s="9">
        <f>'Model inputs'!G8+'Model inputs'!H66-'Model inputs'!H49</f>
        <v>10.438688420000002</v>
      </c>
      <c r="I8" s="9">
        <f>'Model inputs'!H8+'Model inputs'!I66-'Model inputs'!I49</f>
        <v>12.678090892400002</v>
      </c>
      <c r="J8" s="9">
        <f>'Model inputs'!I8+'Model inputs'!J66-'Model inputs'!J49</f>
        <v>14.977939446878004</v>
      </c>
      <c r="K8" s="9">
        <f>'Model inputs'!J8+'Model inputs'!K66-'Model inputs'!K49</f>
        <v>17.342802108784166</v>
      </c>
      <c r="L8" s="9">
        <f>'Model inputs'!K8+'Model inputs'!L66-'Model inputs'!L49</f>
        <v>19.77742893309877</v>
      </c>
      <c r="M8" s="9">
        <f>'Model inputs'!L8+'Model inputs'!M66-'Model inputs'!M49</f>
        <v>22.28676249706284</v>
      </c>
      <c r="N8" s="9">
        <f>'Model inputs'!M8+'Model inputs'!N66-'Model inputs'!N49</f>
        <v>24.875948875705838</v>
      </c>
      <c r="O8" s="9">
        <f>'Model inputs'!N8+'Model inputs'!O66-'Model inputs'!O49</f>
        <v>27.550349125667292</v>
      </c>
      <c r="P8" s="9">
        <f>'Model inputs'!O8+'Model inputs'!P66-'Model inputs'!P49</f>
        <v>30.315551303941536</v>
      </c>
      <c r="Q8" s="9">
        <f>'Model inputs'!P8+'Model inputs'!Q66-'Model inputs'!Q49</f>
        <v>33.17738304946976</v>
      </c>
      <c r="R8" s="9">
        <f>'Model inputs'!Q8+'Model inputs'!R66-'Model inputs'!R49</f>
        <v>36.14192475686447</v>
      </c>
      <c r="S8" s="9">
        <f>'Model inputs'!R8+'Model inputs'!S66-'Model inputs'!S49</f>
        <v>39.215523372981274</v>
      </c>
      <c r="T8" s="9">
        <f>'Model inputs'!S8+'Model inputs'!T66-'Model inputs'!T49</f>
        <v>42.404806848555715</v>
      </c>
      <c r="U8" s="9">
        <f>'Model inputs'!T8+'Model inputs'!U66-'Model inputs'!U49</f>
        <v>45.716699278701114</v>
      </c>
      <c r="V8" s="9">
        <f>'Model inputs'!U8+'Model inputs'!V66-'Model inputs'!V49</f>
        <v>49.15843676772225</v>
      </c>
      <c r="W8" s="9">
        <f>'Model inputs'!V8+'Model inputs'!W66-'Model inputs'!W49</f>
        <v>52.737584055441864</v>
      </c>
      <c r="X8" s="9">
        <f>'Model inputs'!W8+'Model inputs'!X66-'Model inputs'!X49</f>
        <v>56.462051944067454</v>
      </c>
      <c r="Y8" s="9">
        <f>'Model inputs'!X8+'Model inputs'!Y66-'Model inputs'!Y49</f>
        <v>60.34011556654872</v>
      </c>
      <c r="Z8" s="9">
        <f>'Model inputs'!Y8+'Model inputs'!Z66-'Model inputs'!Z49</f>
        <v>64.38043353939571</v>
      </c>
      <c r="AA8" s="9">
        <f>'Model inputs'!Z8+'Model inputs'!AA66-'Model inputs'!AA49</f>
        <v>68.59206804504946</v>
      </c>
    </row>
    <row r="9" outlineLevel="1">
      <c r="A9" t="inlineStr" s="24">
        <is>
          <t xml:space="preserve">Active subscriptions &gt; Team</t>
        </is>
      </c>
      <c r="B9" s="9">
        <f>'Model inputs'!AK175+'Model inputs'!B67-'Model inputs'!B50</f>
        <v>0</v>
      </c>
      <c r="C9" s="9">
        <f>'CheckoutGuard — Forecast · Chec'!B20</f>
        <v>0</v>
      </c>
      <c r="D9" s="9">
        <f>'Model inputs'!C9+'Model inputs'!D67-'Model inputs'!D50</f>
        <v>2</v>
      </c>
      <c r="E9" s="9">
        <f>'Model inputs'!D9+'Model inputs'!E67-'Model inputs'!E50</f>
        <v>4.04</v>
      </c>
      <c r="F9" s="9">
        <f>'Model inputs'!E9+'Model inputs'!F67-'Model inputs'!F50</f>
        <v>6.1238</v>
      </c>
      <c r="G9" s="9">
        <f>'Model inputs'!F9+'Model inputs'!G67-'Model inputs'!G50</f>
        <v>8.255336</v>
      </c>
      <c r="H9" s="9">
        <f>'Model inputs'!G9+'Model inputs'!H67-'Model inputs'!H50</f>
        <v>10.438688420000002</v>
      </c>
      <c r="I9" s="9">
        <f>'Model inputs'!H9+'Model inputs'!I67-'Model inputs'!I50</f>
        <v>12.678090892400002</v>
      </c>
      <c r="J9" s="9">
        <f>'Model inputs'!I9+'Model inputs'!J67-'Model inputs'!J50</f>
        <v>14.977939446878004</v>
      </c>
      <c r="K9" s="9">
        <f>'Model inputs'!J9+'Model inputs'!K67-'Model inputs'!K50</f>
        <v>17.342802108784166</v>
      </c>
      <c r="L9" s="9">
        <f>'Model inputs'!K9+'Model inputs'!L67-'Model inputs'!L50</f>
        <v>19.77742893309877</v>
      </c>
      <c r="M9" s="9">
        <f>'Model inputs'!L9+'Model inputs'!M67-'Model inputs'!M50</f>
        <v>22.28676249706284</v>
      </c>
      <c r="N9" s="9">
        <f>'Model inputs'!M9+'Model inputs'!N67-'Model inputs'!N50</f>
        <v>24.875948875705838</v>
      </c>
      <c r="O9" s="9">
        <f>'Model inputs'!N9+'Model inputs'!O67-'Model inputs'!O50</f>
        <v>27.550349125667292</v>
      </c>
      <c r="P9" s="9">
        <f>'Model inputs'!O9+'Model inputs'!P67-'Model inputs'!P50</f>
        <v>30.315551303941536</v>
      </c>
      <c r="Q9" s="9">
        <f>'Model inputs'!P9+'Model inputs'!Q67-'Model inputs'!Q50</f>
        <v>33.17738304946976</v>
      </c>
      <c r="R9" s="9">
        <f>'Model inputs'!Q9+'Model inputs'!R67-'Model inputs'!R50</f>
        <v>36.14192475686447</v>
      </c>
      <c r="S9" s="9">
        <f>'Model inputs'!R9+'Model inputs'!S67-'Model inputs'!S50</f>
        <v>39.215523372981274</v>
      </c>
      <c r="T9" s="9">
        <f>'Model inputs'!S9+'Model inputs'!T67-'Model inputs'!T50</f>
        <v>42.404806848555715</v>
      </c>
      <c r="U9" s="9">
        <f>'Model inputs'!T9+'Model inputs'!U67-'Model inputs'!U50</f>
        <v>45.716699278701114</v>
      </c>
      <c r="V9" s="9">
        <f>'Model inputs'!U9+'Model inputs'!V67-'Model inputs'!V50</f>
        <v>49.15843676772225</v>
      </c>
      <c r="W9" s="9">
        <f>'Model inputs'!V9+'Model inputs'!W67-'Model inputs'!W50</f>
        <v>52.737584055441864</v>
      </c>
      <c r="X9" s="9">
        <f>'Model inputs'!W9+'Model inputs'!X67-'Model inputs'!X50</f>
        <v>56.462051944067454</v>
      </c>
      <c r="Y9" s="9">
        <f>'Model inputs'!X9+'Model inputs'!Y67-'Model inputs'!Y50</f>
        <v>60.34011556654872</v>
      </c>
      <c r="Z9" s="9">
        <f>'Model inputs'!Y9+'Model inputs'!Z67-'Model inputs'!Z50</f>
        <v>64.38043353939571</v>
      </c>
      <c r="AA9" s="9">
        <f>'Model inputs'!Z9+'Model inputs'!AA67-'Model inputs'!AA50</f>
        <v>68.59206804504946</v>
      </c>
    </row>
    <row r="10">
      <c r="A10" t="inlineStr" s="23">
        <is>
          <t xml:space="preserve">Active subscriptions</t>
        </is>
      </c>
      <c r="B10" s="6">
        <f>SUM('Model inputs'!B11,'Model inputs'!B12,'Model inputs'!B13)</f>
        <v>0</v>
      </c>
      <c r="C10" s="6">
        <f>SUM('Model inputs'!C11,'Model inputs'!C12,'Model inputs'!C13)</f>
        <v>0</v>
      </c>
      <c r="D10" s="6">
        <f>SUM('Model inputs'!D11,'Model inputs'!D12,'Model inputs'!D13)</f>
        <v>2.25</v>
      </c>
      <c r="E10" s="6">
        <f>SUM('Model inputs'!E11,'Model inputs'!E12,'Model inputs'!E13)</f>
        <v>4.3875</v>
      </c>
      <c r="F10" s="6">
        <f>SUM('Model inputs'!F11,'Model inputs'!F12,'Model inputs'!F13)</f>
        <v>6.418125</v>
      </c>
      <c r="G10" s="6">
        <f>SUM('Model inputs'!G11,'Model inputs'!G12,'Model inputs'!G13)</f>
        <v>8.34721875</v>
      </c>
      <c r="H10" s="6">
        <f>SUM('Model inputs'!H11,'Model inputs'!H12,'Model inputs'!H13)</f>
        <v>10.1798578125</v>
      </c>
      <c r="I10" s="6">
        <f>SUM('Model inputs'!I11,'Model inputs'!I12,'Model inputs'!I13)</f>
        <v>11.920864921875001</v>
      </c>
      <c r="J10" s="6">
        <f>SUM('Model inputs'!J11,'Model inputs'!J12,'Model inputs'!J13)</f>
        <v>13.574821675781251</v>
      </c>
      <c r="K10" s="6">
        <f>SUM('Model inputs'!K11,'Model inputs'!K12,'Model inputs'!K13)</f>
        <v>15.146080591992188</v>
      </c>
      <c r="L10" s="6">
        <f>SUM('Model inputs'!L11,'Model inputs'!L12,'Model inputs'!L13)</f>
        <v>16.63877656239258</v>
      </c>
      <c r="M10" s="6">
        <f>SUM('Model inputs'!M11,'Model inputs'!M12,'Model inputs'!M13)</f>
        <v>18.05683773427295</v>
      </c>
      <c r="N10" s="6">
        <f>SUM('Model inputs'!N11,'Model inputs'!N12,'Model inputs'!N13)</f>
        <v>19.4039958475593</v>
      </c>
      <c r="O10" s="6">
        <f>SUM('Model inputs'!O11,'Model inputs'!O12,'Model inputs'!O13)</f>
        <v>20.683796055181336</v>
      </c>
      <c r="P10" s="6">
        <f>SUM('Model inputs'!P11,'Model inputs'!P12,'Model inputs'!P13)</f>
        <v>21.899606252422274</v>
      </c>
      <c r="Q10" s="6">
        <f>SUM('Model inputs'!Q11,'Model inputs'!Q12,'Model inputs'!Q13)</f>
        <v>23.05462593980116</v>
      </c>
      <c r="R10" s="6">
        <f>SUM('Model inputs'!R11,'Model inputs'!R12,'Model inputs'!R13)</f>
        <v>24.1518946428111</v>
      </c>
      <c r="S10" s="6">
        <f>SUM('Model inputs'!S11,'Model inputs'!S12,'Model inputs'!S13)</f>
        <v>25.194299910670544</v>
      </c>
      <c r="T10" s="6">
        <f>SUM('Model inputs'!T11,'Model inputs'!T12,'Model inputs'!T13)</f>
        <v>26.18458491513702</v>
      </c>
      <c r="U10" s="6">
        <f>SUM('Model inputs'!U11,'Model inputs'!U12,'Model inputs'!U13)</f>
        <v>27.125355669380166</v>
      </c>
      <c r="V10" s="6">
        <f>SUM('Model inputs'!V11,'Model inputs'!V12,'Model inputs'!V13)</f>
        <v>28.01908788591116</v>
      </c>
      <c r="W10" s="6">
        <f>SUM('Model inputs'!W11,'Model inputs'!W12,'Model inputs'!W13)</f>
        <v>28.868133491615602</v>
      </c>
      <c r="X10" s="6">
        <f>SUM('Model inputs'!X11,'Model inputs'!X12,'Model inputs'!X13)</f>
        <v>29.674726817034824</v>
      </c>
      <c r="Y10" s="6">
        <f>SUM('Model inputs'!Y11,'Model inputs'!Y12,'Model inputs'!Y13)</f>
        <v>30.44099047618308</v>
      </c>
      <c r="Z10" s="6">
        <f>SUM('Model inputs'!Z11,'Model inputs'!Z12,'Model inputs'!Z13)</f>
        <v>31.16894095237393</v>
      </c>
      <c r="AA10" s="6">
        <f>SUM('Model inputs'!AA11,'Model inputs'!AA12,'Model inputs'!AA13)</f>
        <v>31.86049390475523</v>
      </c>
    </row>
    <row r="11" outlineLevel="1">
      <c r="A11" t="inlineStr" s="24">
        <is>
          <t xml:space="preserve">Active subscriptions &gt; Agency</t>
        </is>
      </c>
      <c r="B11" s="9">
        <f>'Model inputs'!AK177+'Model inputs'!B228-'Model inputs'!B208</f>
        <v>0</v>
      </c>
      <c r="C11" s="9">
        <f>'CheckoutGuard — Forecast · Chec'!B18</f>
        <v>0</v>
      </c>
      <c r="D11" s="9">
        <f>'Model inputs'!C11+'Model inputs'!D228-'Model inputs'!D208</f>
        <v>0.25</v>
      </c>
      <c r="E11" s="9">
        <f>'Model inputs'!D11+'Model inputs'!E228-'Model inputs'!E208</f>
        <v>0.4875</v>
      </c>
      <c r="F11" s="9">
        <f>'Model inputs'!E11+'Model inputs'!F228-'Model inputs'!F208</f>
        <v>0.713125</v>
      </c>
      <c r="G11" s="9">
        <f>'Model inputs'!F11+'Model inputs'!G228-'Model inputs'!G208</f>
        <v>0.9274687500000001</v>
      </c>
      <c r="H11" s="9">
        <f>'Model inputs'!G11+'Model inputs'!H228-'Model inputs'!H208</f>
        <v>1.1310953125</v>
      </c>
      <c r="I11" s="9">
        <f>'Model inputs'!H11+'Model inputs'!I228-'Model inputs'!I208</f>
        <v>1.324540546875</v>
      </c>
      <c r="J11" s="9">
        <f>'Model inputs'!I11+'Model inputs'!J228-'Model inputs'!J208</f>
        <v>1.50831351953125</v>
      </c>
      <c r="K11" s="9">
        <f>'Model inputs'!J11+'Model inputs'!K228-'Model inputs'!K208</f>
        <v>1.6828978435546875</v>
      </c>
      <c r="L11" s="9">
        <f>'Model inputs'!K11+'Model inputs'!L228-'Model inputs'!L208</f>
        <v>1.8487529513769532</v>
      </c>
      <c r="M11" s="9">
        <f>'Model inputs'!L11+'Model inputs'!M228-'Model inputs'!M208</f>
        <v>2.0063153038081056</v>
      </c>
      <c r="N11" s="9">
        <f>'Model inputs'!M11+'Model inputs'!N228-'Model inputs'!N208</f>
        <v>2.1559995386177</v>
      </c>
      <c r="O11" s="9">
        <f>'Model inputs'!N11+'Model inputs'!O228-'Model inputs'!O208</f>
        <v>2.298199561686815</v>
      </c>
      <c r="P11" s="9">
        <f>'Model inputs'!O11+'Model inputs'!P228-'Model inputs'!P208</f>
        <v>2.4332895836024746</v>
      </c>
      <c r="Q11" s="9">
        <f>'Model inputs'!P11+'Model inputs'!Q228-'Model inputs'!Q208</f>
        <v>2.561625104422351</v>
      </c>
      <c r="R11" s="9">
        <f>'Model inputs'!Q11+'Model inputs'!R228-'Model inputs'!R208</f>
        <v>2.6835438492012336</v>
      </c>
      <c r="S11" s="9">
        <f>'Model inputs'!R11+'Model inputs'!S228-'Model inputs'!S208</f>
        <v>2.7993666567411717</v>
      </c>
      <c r="T11" s="9">
        <f>'Model inputs'!S11+'Model inputs'!T228-'Model inputs'!T208</f>
        <v>2.9093983239041132</v>
      </c>
      <c r="U11" s="9">
        <f>'Model inputs'!T11+'Model inputs'!U228-'Model inputs'!U208</f>
        <v>3.0139284077089075</v>
      </c>
      <c r="V11" s="9">
        <f>'Model inputs'!U11+'Model inputs'!V228-'Model inputs'!V208</f>
        <v>3.113231987323462</v>
      </c>
      <c r="W11" s="9">
        <f>'Model inputs'!V11+'Model inputs'!W228-'Model inputs'!W208</f>
        <v>3.207570387957289</v>
      </c>
      <c r="X11" s="9">
        <f>'Model inputs'!W11+'Model inputs'!X228-'Model inputs'!X208</f>
        <v>3.2971918685594246</v>
      </c>
      <c r="Y11" s="9">
        <f>'Model inputs'!X11+'Model inputs'!Y228-'Model inputs'!Y208</f>
        <v>3.3823322751314535</v>
      </c>
      <c r="Z11" s="9">
        <f>'Model inputs'!Y11+'Model inputs'!Z228-'Model inputs'!Z208</f>
        <v>3.463215661374881</v>
      </c>
      <c r="AA11" s="9">
        <f>'Model inputs'!Z11+'Model inputs'!AA228-'Model inputs'!AA208</f>
        <v>3.5400548783061367</v>
      </c>
    </row>
    <row r="12" outlineLevel="1">
      <c r="A12" t="inlineStr" s="24">
        <is>
          <t xml:space="preserve">Active subscriptions &gt; Developer</t>
        </is>
      </c>
      <c r="B12" s="9">
        <f>'Model inputs'!AK178+'Model inputs'!B229-'Model inputs'!B209</f>
        <v>0</v>
      </c>
      <c r="C12" s="9">
        <f>'CheckoutGuard — Forecast · Chec'!B19</f>
        <v>0</v>
      </c>
      <c r="D12" s="9">
        <f>'Model inputs'!C12+'Model inputs'!D229-'Model inputs'!D209</f>
        <v>1</v>
      </c>
      <c r="E12" s="9">
        <f>'Model inputs'!D12+'Model inputs'!E229-'Model inputs'!E209</f>
        <v>1.95</v>
      </c>
      <c r="F12" s="9">
        <f>'Model inputs'!E12+'Model inputs'!F229-'Model inputs'!F209</f>
        <v>2.8525</v>
      </c>
      <c r="G12" s="9">
        <f>'Model inputs'!F12+'Model inputs'!G229-'Model inputs'!G209</f>
        <v>3.7098750000000003</v>
      </c>
      <c r="H12" s="9">
        <f>'Model inputs'!G12+'Model inputs'!H229-'Model inputs'!H209</f>
        <v>4.52438125</v>
      </c>
      <c r="I12" s="9">
        <f>'Model inputs'!H12+'Model inputs'!I229-'Model inputs'!I209</f>
        <v>5.2981621875</v>
      </c>
      <c r="J12" s="9">
        <f>'Model inputs'!I12+'Model inputs'!J229-'Model inputs'!J209</f>
        <v>6.033254078125</v>
      </c>
      <c r="K12" s="9">
        <f>'Model inputs'!J12+'Model inputs'!K229-'Model inputs'!K209</f>
        <v>6.73159137421875</v>
      </c>
      <c r="L12" s="9">
        <f>'Model inputs'!K12+'Model inputs'!L229-'Model inputs'!L209</f>
        <v>7.395011805507813</v>
      </c>
      <c r="M12" s="9">
        <f>'Model inputs'!L12+'Model inputs'!M229-'Model inputs'!M209</f>
        <v>8.025261215232423</v>
      </c>
      <c r="N12" s="9">
        <f>'Model inputs'!M12+'Model inputs'!N229-'Model inputs'!N209</f>
        <v>8.6239981544708</v>
      </c>
      <c r="O12" s="9">
        <f>'Model inputs'!N12+'Model inputs'!O229-'Model inputs'!O209</f>
        <v>9.19279824674726</v>
      </c>
      <c r="P12" s="9">
        <f>'Model inputs'!O12+'Model inputs'!P229-'Model inputs'!P209</f>
        <v>9.733158334409898</v>
      </c>
      <c r="Q12" s="9">
        <f>'Model inputs'!P12+'Model inputs'!Q229-'Model inputs'!Q209</f>
        <v>10.246500417689404</v>
      </c>
      <c r="R12" s="9">
        <f>'Model inputs'!Q12+'Model inputs'!R229-'Model inputs'!R209</f>
        <v>10.734175396804934</v>
      </c>
      <c r="S12" s="9">
        <f>'Model inputs'!R12+'Model inputs'!S229-'Model inputs'!S209</f>
        <v>11.197466626964687</v>
      </c>
      <c r="T12" s="9">
        <f>'Model inputs'!S12+'Model inputs'!T229-'Model inputs'!T209</f>
        <v>11.637593295616453</v>
      </c>
      <c r="U12" s="9">
        <f>'Model inputs'!T12+'Model inputs'!U229-'Model inputs'!U209</f>
        <v>12.05571363083563</v>
      </c>
      <c r="V12" s="9">
        <f>'Model inputs'!U12+'Model inputs'!V229-'Model inputs'!V209</f>
        <v>12.452927949293848</v>
      </c>
      <c r="W12" s="9">
        <f>'Model inputs'!V12+'Model inputs'!W229-'Model inputs'!W209</f>
        <v>12.830281551829156</v>
      </c>
      <c r="X12" s="9">
        <f>'Model inputs'!W12+'Model inputs'!X229-'Model inputs'!X209</f>
        <v>13.188767474237698</v>
      </c>
      <c r="Y12" s="9">
        <f>'Model inputs'!X12+'Model inputs'!Y229-'Model inputs'!Y209</f>
        <v>13.529329100525814</v>
      </c>
      <c r="Z12" s="9">
        <f>'Model inputs'!Y12+'Model inputs'!Z229-'Model inputs'!Z209</f>
        <v>13.852862645499524</v>
      </c>
      <c r="AA12" s="9">
        <f>'Model inputs'!Z12+'Model inputs'!AA229-'Model inputs'!AA209</f>
        <v>14.160219513224547</v>
      </c>
    </row>
    <row r="13" outlineLevel="1">
      <c r="A13" t="inlineStr" s="24">
        <is>
          <t xml:space="preserve">Active subscriptions &gt; Team</t>
        </is>
      </c>
      <c r="B13" s="9">
        <f>'Model inputs'!AK179+'Model inputs'!B230-'Model inputs'!B210</f>
        <v>0</v>
      </c>
      <c r="C13" s="9">
        <f>'CheckoutGuard — Forecast · Chec'!B20</f>
        <v>0</v>
      </c>
      <c r="D13" s="9">
        <f>'Model inputs'!C13+'Model inputs'!D230-'Model inputs'!D210</f>
        <v>1</v>
      </c>
      <c r="E13" s="9">
        <f>'Model inputs'!D13+'Model inputs'!E230-'Model inputs'!E210</f>
        <v>1.95</v>
      </c>
      <c r="F13" s="9">
        <f>'Model inputs'!E13+'Model inputs'!F230-'Model inputs'!F210</f>
        <v>2.8525</v>
      </c>
      <c r="G13" s="9">
        <f>'Model inputs'!F13+'Model inputs'!G230-'Model inputs'!G210</f>
        <v>3.7098750000000003</v>
      </c>
      <c r="H13" s="9">
        <f>'Model inputs'!G13+'Model inputs'!H230-'Model inputs'!H210</f>
        <v>4.52438125</v>
      </c>
      <c r="I13" s="9">
        <f>'Model inputs'!H13+'Model inputs'!I230-'Model inputs'!I210</f>
        <v>5.2981621875</v>
      </c>
      <c r="J13" s="9">
        <f>'Model inputs'!I13+'Model inputs'!J230-'Model inputs'!J210</f>
        <v>6.033254078125</v>
      </c>
      <c r="K13" s="9">
        <f>'Model inputs'!J13+'Model inputs'!K230-'Model inputs'!K210</f>
        <v>6.73159137421875</v>
      </c>
      <c r="L13" s="9">
        <f>'Model inputs'!K13+'Model inputs'!L230-'Model inputs'!L210</f>
        <v>7.395011805507813</v>
      </c>
      <c r="M13" s="9">
        <f>'Model inputs'!L13+'Model inputs'!M230-'Model inputs'!M210</f>
        <v>8.025261215232423</v>
      </c>
      <c r="N13" s="9">
        <f>'Model inputs'!M13+'Model inputs'!N230-'Model inputs'!N210</f>
        <v>8.6239981544708</v>
      </c>
      <c r="O13" s="9">
        <f>'Model inputs'!N13+'Model inputs'!O230-'Model inputs'!O210</f>
        <v>9.19279824674726</v>
      </c>
      <c r="P13" s="9">
        <f>'Model inputs'!O13+'Model inputs'!P230-'Model inputs'!P210</f>
        <v>9.733158334409898</v>
      </c>
      <c r="Q13" s="9">
        <f>'Model inputs'!P13+'Model inputs'!Q230-'Model inputs'!Q210</f>
        <v>10.246500417689404</v>
      </c>
      <c r="R13" s="9">
        <f>'Model inputs'!Q13+'Model inputs'!R230-'Model inputs'!R210</f>
        <v>10.734175396804934</v>
      </c>
      <c r="S13" s="9">
        <f>'Model inputs'!R13+'Model inputs'!S230-'Model inputs'!S210</f>
        <v>11.197466626964687</v>
      </c>
      <c r="T13" s="9">
        <f>'Model inputs'!S13+'Model inputs'!T230-'Model inputs'!T210</f>
        <v>11.637593295616453</v>
      </c>
      <c r="U13" s="9">
        <f>'Model inputs'!T13+'Model inputs'!U230-'Model inputs'!U210</f>
        <v>12.05571363083563</v>
      </c>
      <c r="V13" s="9">
        <f>'Model inputs'!U13+'Model inputs'!V230-'Model inputs'!V210</f>
        <v>12.452927949293848</v>
      </c>
      <c r="W13" s="9">
        <f>'Model inputs'!V13+'Model inputs'!W230-'Model inputs'!W210</f>
        <v>12.830281551829156</v>
      </c>
      <c r="X13" s="9">
        <f>'Model inputs'!W13+'Model inputs'!X230-'Model inputs'!X210</f>
        <v>13.188767474237698</v>
      </c>
      <c r="Y13" s="9">
        <f>'Model inputs'!X13+'Model inputs'!Y230-'Model inputs'!Y210</f>
        <v>13.529329100525814</v>
      </c>
      <c r="Z13" s="9">
        <f>'Model inputs'!Y13+'Model inputs'!Z230-'Model inputs'!Z210</f>
        <v>13.852862645499524</v>
      </c>
      <c r="AA13" s="9">
        <f>'Model inputs'!Z13+'Model inputs'!AA230-'Model inputs'!AA210</f>
        <v>14.160219513224547</v>
      </c>
    </row>
    <row r="14">
      <c r="A14" t="inlineStr" s="23">
        <is>
          <t xml:space="preserve">Active subscriptions</t>
        </is>
      </c>
      <c r="B14" s="6">
        <f>SUM('Model inputs'!B15,'Model inputs'!B16,'Model inputs'!B17)</f>
        <v>0</v>
      </c>
      <c r="C14" s="6">
        <f>SUM('Model inputs'!C15,'Model inputs'!C16,'Model inputs'!C17)</f>
        <v>0</v>
      </c>
      <c r="D14" s="6">
        <f>SUM('Model inputs'!D15,'Model inputs'!D16,'Model inputs'!D17)</f>
        <v>8</v>
      </c>
      <c r="E14" s="6">
        <f>SUM('Model inputs'!E15,'Model inputs'!E16,'Model inputs'!E17)</f>
        <v>16.48</v>
      </c>
      <c r="F14" s="6">
        <f>SUM('Model inputs'!F15,'Model inputs'!F16,'Model inputs'!F17)</f>
        <v>25.4816</v>
      </c>
      <c r="G14" s="6">
        <f>SUM('Model inputs'!G15,'Model inputs'!G16,'Model inputs'!G17)</f>
        <v>35.04966400000001</v>
      </c>
      <c r="H14" s="6">
        <f>SUM('Model inputs'!H15,'Model inputs'!H16,'Model inputs'!H17)</f>
        <v>45.23258240000001</v>
      </c>
      <c r="I14" s="6">
        <f>SUM('Model inputs'!I15,'Model inputs'!I16,'Model inputs'!I17)</f>
        <v>56.082555366400015</v>
      </c>
      <c r="J14" s="6">
        <f>SUM('Model inputs'!J15,'Model inputs'!J16,'Model inputs'!J17)</f>
        <v>67.65589884262403</v>
      </c>
      <c r="K14" s="6">
        <f>SUM('Model inputs'!K15,'Model inputs'!K16,'Model inputs'!K17)</f>
        <v>80.0133750160077</v>
      </c>
      <c r="L14" s="6">
        <f>SUM('Model inputs'!L15,'Model inputs'!L16,'Model inputs'!L17)</f>
        <v>93.2205491979426</v>
      </c>
      <c r="M14" s="6">
        <f>SUM('Model inputs'!M15,'Model inputs'!M16,'Model inputs'!M17)</f>
        <v>107.34817523081924</v>
      </c>
      <c r="N14" s="6">
        <f>SUM('Model inputs'!N15,'Model inputs'!N16,'Model inputs'!N17)</f>
        <v>122.47261170438516</v>
      </c>
      <c r="O14" s="6">
        <f>SUM('Model inputs'!O15,'Model inputs'!O16,'Model inputs'!O17)</f>
        <v>138.67627144673435</v>
      </c>
      <c r="P14" s="6">
        <f>SUM('Model inputs'!P15,'Model inputs'!P16,'Model inputs'!P17)</f>
        <v>156.0481069523515</v>
      </c>
      <c r="Q14" s="6">
        <f>SUM('Model inputs'!Q15,'Model inputs'!Q16,'Model inputs'!Q17)</f>
        <v>174.68413462262046</v>
      </c>
      <c r="R14" s="6">
        <f>SUM('Model inputs'!R15,'Model inputs'!R16,'Model inputs'!R17)</f>
        <v>194.68800092422933</v>
      </c>
      <c r="S14" s="6">
        <f>SUM('Model inputs'!S15,'Model inputs'!S16,'Model inputs'!S17)</f>
        <v>216.17159381933095</v>
      </c>
      <c r="T14" s="6">
        <f>SUM('Model inputs'!T15,'Model inputs'!T16,'Model inputs'!T17)</f>
        <v>239.25570308961738</v>
      </c>
      <c r="U14" s="6">
        <f>SUM('Model inputs'!U15,'Model inputs'!U16,'Model inputs'!U17)</f>
        <v>264.07073346623196</v>
      </c>
      <c r="V14" s="6">
        <f>SUM('Model inputs'!V15,'Model inputs'!V16,'Model inputs'!V17)</f>
        <v>290.7574747903868</v>
      </c>
      <c r="W14" s="6">
        <f>SUM('Model inputs'!W15,'Model inputs'!W16,'Model inputs'!W17)</f>
        <v>319.46793376753686</v>
      </c>
      <c r="X14" s="6">
        <f>SUM('Model inputs'!X15,'Model inputs'!X16,'Model inputs'!X17)</f>
        <v>350.3662322429806</v>
      </c>
      <c r="Y14" s="6">
        <f>SUM('Model inputs'!Y15,'Model inputs'!Y16,'Model inputs'!Y17)</f>
        <v>383.629577320979</v>
      </c>
      <c r="Z14" s="6">
        <f>SUM('Model inputs'!Z15,'Model inputs'!Z16,'Model inputs'!Z17)</f>
        <v>419.4493090752461</v>
      </c>
      <c r="AA14" s="6">
        <f>SUM('Model inputs'!AA15,'Model inputs'!AA16,'Model inputs'!AA17)</f>
        <v>458.03203205848286</v>
      </c>
    </row>
    <row r="15" outlineLevel="1">
      <c r="A15" t="inlineStr" s="24">
        <is>
          <t xml:space="preserve">Active subscriptions &gt; Agency</t>
        </is>
      </c>
      <c r="B15" s="9">
        <f>'Model inputs'!AK181+'Model inputs'!B232-'Model inputs'!B212</f>
        <v>0</v>
      </c>
      <c r="C15" s="9">
        <f>'CheckoutGuard — Forecast · Chec'!B18</f>
        <v>0</v>
      </c>
      <c r="D15" s="9">
        <f>'Model inputs'!C15+'Model inputs'!D232-'Model inputs'!D212</f>
        <v>1</v>
      </c>
      <c r="E15" s="9">
        <f>'Model inputs'!D15+'Model inputs'!E232-'Model inputs'!E212</f>
        <v>2.06</v>
      </c>
      <c r="F15" s="9">
        <f>'Model inputs'!E15+'Model inputs'!F232-'Model inputs'!F212</f>
        <v>3.1852</v>
      </c>
      <c r="G15" s="9">
        <f>'Model inputs'!F15+'Model inputs'!G232-'Model inputs'!G212</f>
        <v>4.381208</v>
      </c>
      <c r="H15" s="9">
        <f>'Model inputs'!G15+'Model inputs'!H232-'Model inputs'!H212</f>
        <v>5.654072800000001</v>
      </c>
      <c r="I15" s="9">
        <f>'Model inputs'!H15+'Model inputs'!I232-'Model inputs'!I212</f>
        <v>7.010319420800002</v>
      </c>
      <c r="J15" s="9">
        <f>'Model inputs'!I15+'Model inputs'!J232-'Model inputs'!J212</f>
        <v>8.456987355328001</v>
      </c>
      <c r="K15" s="9">
        <f>'Model inputs'!J15+'Model inputs'!K232-'Model inputs'!K212</f>
        <v>10.001671877000962</v>
      </c>
      <c r="L15" s="9">
        <f>'Model inputs'!K15+'Model inputs'!L232-'Model inputs'!L212</f>
        <v>11.652568649742825</v>
      </c>
      <c r="M15" s="9">
        <f>'Model inputs'!L15+'Model inputs'!M232-'Model inputs'!M212</f>
        <v>13.418521903852403</v>
      </c>
      <c r="N15" s="9">
        <f>'Model inputs'!M15+'Model inputs'!N232-'Model inputs'!N212</f>
        <v>15.309076463048143</v>
      </c>
      <c r="O15" s="9">
        <f>'Model inputs'!N15+'Model inputs'!O232-'Model inputs'!O212</f>
        <v>17.33453393084179</v>
      </c>
      <c r="P15" s="9">
        <f>'Model inputs'!O15+'Model inputs'!P232-'Model inputs'!P212</f>
        <v>19.506013369043938</v>
      </c>
      <c r="Q15" s="9">
        <f>'Model inputs'!P15+'Model inputs'!Q232-'Model inputs'!Q212</f>
        <v>21.835516827827558</v>
      </c>
      <c r="R15" s="9">
        <f>'Model inputs'!Q15+'Model inputs'!R232-'Model inputs'!R212</f>
        <v>24.336000115528666</v>
      </c>
      <c r="S15" s="9">
        <f>'Model inputs'!R15+'Model inputs'!S232-'Model inputs'!S212</f>
        <v>27.021449227416365</v>
      </c>
      <c r="T15" s="9">
        <f>'Model inputs'!S15+'Model inputs'!T232-'Model inputs'!T212</f>
        <v>29.906962886202173</v>
      </c>
      <c r="U15" s="9">
        <f>'Model inputs'!T15+'Model inputs'!U232-'Model inputs'!U212</f>
        <v>33.008841683278995</v>
      </c>
      <c r="V15" s="9">
        <f>'Model inputs'!U15+'Model inputs'!V232-'Model inputs'!V212</f>
        <v>36.344684348798346</v>
      </c>
      <c r="W15" s="9">
        <f>'Model inputs'!V15+'Model inputs'!W232-'Model inputs'!W212</f>
        <v>39.93349172094211</v>
      </c>
      <c r="X15" s="9">
        <f>'Model inputs'!W15+'Model inputs'!X232-'Model inputs'!X212</f>
        <v>43.79577903037257</v>
      </c>
      <c r="Y15" s="9">
        <f>'Model inputs'!X15+'Model inputs'!Y232-'Model inputs'!Y212</f>
        <v>47.95369716512237</v>
      </c>
      <c r="Z15" s="9">
        <f>'Model inputs'!Y15+'Model inputs'!Z232-'Model inputs'!Z212</f>
        <v>52.431163634405756</v>
      </c>
      <c r="AA15" s="9">
        <f>'Model inputs'!Z15+'Model inputs'!AA232-'Model inputs'!AA212</f>
        <v>57.25400400731034</v>
      </c>
    </row>
    <row r="16" outlineLevel="1">
      <c r="A16" t="inlineStr" s="24">
        <is>
          <t xml:space="preserve">Active subscriptions &gt; Developer</t>
        </is>
      </c>
      <c r="B16" s="9">
        <f>'Model inputs'!AK182+'Model inputs'!B233-'Model inputs'!B213</f>
        <v>0</v>
      </c>
      <c r="C16" s="9">
        <f>'CheckoutGuard — Forecast · Chec'!B19</f>
        <v>0</v>
      </c>
      <c r="D16" s="9">
        <f>'Model inputs'!C16+'Model inputs'!D233-'Model inputs'!D213</f>
        <v>4</v>
      </c>
      <c r="E16" s="9">
        <f>'Model inputs'!D16+'Model inputs'!E233-'Model inputs'!E213</f>
        <v>8.24</v>
      </c>
      <c r="F16" s="9">
        <f>'Model inputs'!E16+'Model inputs'!F233-'Model inputs'!F213</f>
        <v>12.7408</v>
      </c>
      <c r="G16" s="9">
        <f>'Model inputs'!F16+'Model inputs'!G233-'Model inputs'!G213</f>
        <v>17.524832</v>
      </c>
      <c r="H16" s="9">
        <f>'Model inputs'!G16+'Model inputs'!H233-'Model inputs'!H213</f>
        <v>22.616291200000003</v>
      </c>
      <c r="I16" s="9">
        <f>'Model inputs'!H16+'Model inputs'!I233-'Model inputs'!I213</f>
        <v>28.041277683200008</v>
      </c>
      <c r="J16" s="9">
        <f>'Model inputs'!I16+'Model inputs'!J233-'Model inputs'!J213</f>
        <v>33.827949421312006</v>
      </c>
      <c r="K16" s="9">
        <f>'Model inputs'!J16+'Model inputs'!K233-'Model inputs'!K213</f>
        <v>40.00668750800385</v>
      </c>
      <c r="L16" s="9">
        <f>'Model inputs'!K16+'Model inputs'!L233-'Model inputs'!L213</f>
        <v>46.6102745989713</v>
      </c>
      <c r="M16" s="9">
        <f>'Model inputs'!L16+'Model inputs'!M233-'Model inputs'!M213</f>
        <v>53.67408761540961</v>
      </c>
      <c r="N16" s="9">
        <f>'Model inputs'!M16+'Model inputs'!N233-'Model inputs'!N213</f>
        <v>61.23630585219257</v>
      </c>
      <c r="O16" s="9">
        <f>'Model inputs'!N16+'Model inputs'!O233-'Model inputs'!O213</f>
        <v>69.33813572336716</v>
      </c>
      <c r="P16" s="9">
        <f>'Model inputs'!O16+'Model inputs'!P233-'Model inputs'!P213</f>
        <v>78.02405347617575</v>
      </c>
      <c r="Q16" s="9">
        <f>'Model inputs'!P16+'Model inputs'!Q233-'Model inputs'!Q213</f>
        <v>87.34206731131023</v>
      </c>
      <c r="R16" s="9">
        <f>'Model inputs'!Q16+'Model inputs'!R233-'Model inputs'!R213</f>
        <v>97.34400046211466</v>
      </c>
      <c r="S16" s="9">
        <f>'Model inputs'!R16+'Model inputs'!S233-'Model inputs'!S213</f>
        <v>108.08579690966546</v>
      </c>
      <c r="T16" s="9">
        <f>'Model inputs'!S16+'Model inputs'!T233-'Model inputs'!T213</f>
        <v>119.62785154480869</v>
      </c>
      <c r="U16" s="9">
        <f>'Model inputs'!T16+'Model inputs'!U233-'Model inputs'!U213</f>
        <v>132.03536673311598</v>
      </c>
      <c r="V16" s="9">
        <f>'Model inputs'!U16+'Model inputs'!V233-'Model inputs'!V213</f>
        <v>145.37873739519338</v>
      </c>
      <c r="W16" s="9">
        <f>'Model inputs'!V16+'Model inputs'!W233-'Model inputs'!W213</f>
        <v>159.73396688376843</v>
      </c>
      <c r="X16" s="9">
        <f>'Model inputs'!W16+'Model inputs'!X233-'Model inputs'!X213</f>
        <v>175.1831161214903</v>
      </c>
      <c r="Y16" s="9">
        <f>'Model inputs'!X16+'Model inputs'!Y233-'Model inputs'!Y213</f>
        <v>191.81478866048948</v>
      </c>
      <c r="Z16" s="9">
        <f>'Model inputs'!Y16+'Model inputs'!Z233-'Model inputs'!Z213</f>
        <v>209.72465453762302</v>
      </c>
      <c r="AA16" s="9">
        <f>'Model inputs'!Z16+'Model inputs'!AA233-'Model inputs'!AA213</f>
        <v>229.01601602924137</v>
      </c>
    </row>
    <row r="17" outlineLevel="1">
      <c r="A17" t="inlineStr" s="24">
        <is>
          <t xml:space="preserve">Active subscriptions &gt; Team</t>
        </is>
      </c>
      <c r="B17" s="9">
        <f>'Model inputs'!AK183+'Model inputs'!B234-'Model inputs'!B214</f>
        <v>0</v>
      </c>
      <c r="C17" s="9">
        <f>'CheckoutGuard — Forecast · Chec'!B20</f>
        <v>0</v>
      </c>
      <c r="D17" s="9">
        <f>'Model inputs'!C17+'Model inputs'!D234-'Model inputs'!D214</f>
        <v>3</v>
      </c>
      <c r="E17" s="9">
        <f>'Model inputs'!D17+'Model inputs'!E234-'Model inputs'!E214</f>
        <v>6.180000000000001</v>
      </c>
      <c r="F17" s="9">
        <f>'Model inputs'!E17+'Model inputs'!F234-'Model inputs'!F214</f>
        <v>9.555600000000002</v>
      </c>
      <c r="G17" s="9">
        <f>'Model inputs'!F17+'Model inputs'!G234-'Model inputs'!G214</f>
        <v>13.143624000000003</v>
      </c>
      <c r="H17" s="9">
        <f>'Model inputs'!G17+'Model inputs'!H234-'Model inputs'!H214</f>
        <v>16.962218400000005</v>
      </c>
      <c r="I17" s="9">
        <f>'Model inputs'!H17+'Model inputs'!I234-'Model inputs'!I214</f>
        <v>21.030958262400006</v>
      </c>
      <c r="J17" s="9">
        <f>'Model inputs'!I17+'Model inputs'!J234-'Model inputs'!J214</f>
        <v>25.37096206598401</v>
      </c>
      <c r="K17" s="9">
        <f>'Model inputs'!J17+'Model inputs'!K234-'Model inputs'!K214</f>
        <v>30.00501563100289</v>
      </c>
      <c r="L17" s="9">
        <f>'Model inputs'!K17+'Model inputs'!L234-'Model inputs'!L214</f>
        <v>34.95770594922848</v>
      </c>
      <c r="M17" s="9">
        <f>'Model inputs'!L17+'Model inputs'!M234-'Model inputs'!M214</f>
        <v>40.25556571155722</v>
      </c>
      <c r="N17" s="9">
        <f>'Model inputs'!M17+'Model inputs'!N234-'Model inputs'!N214</f>
        <v>45.92722938914444</v>
      </c>
      <c r="O17" s="9">
        <f>'Model inputs'!N17+'Model inputs'!O234-'Model inputs'!O214</f>
        <v>52.00360179252539</v>
      </c>
      <c r="P17" s="9">
        <f>'Model inputs'!O17+'Model inputs'!P234-'Model inputs'!P214</f>
        <v>58.51804010713182</v>
      </c>
      <c r="Q17" s="9">
        <f>'Model inputs'!P17+'Model inputs'!Q234-'Model inputs'!Q214</f>
        <v>65.50655048348267</v>
      </c>
      <c r="R17" s="9">
        <f>'Model inputs'!Q17+'Model inputs'!R234-'Model inputs'!R214</f>
        <v>73.008000346586</v>
      </c>
      <c r="S17" s="9">
        <f>'Model inputs'!R17+'Model inputs'!S234-'Model inputs'!S214</f>
        <v>81.0643476822491</v>
      </c>
      <c r="T17" s="9">
        <f>'Model inputs'!S17+'Model inputs'!T234-'Model inputs'!T214</f>
        <v>89.72088865860653</v>
      </c>
      <c r="U17" s="9">
        <f>'Model inputs'!T17+'Model inputs'!U234-'Model inputs'!U214</f>
        <v>99.02652504983699</v>
      </c>
      <c r="V17" s="9">
        <f>'Model inputs'!U17+'Model inputs'!V234-'Model inputs'!V214</f>
        <v>109.03405304639506</v>
      </c>
      <c r="W17" s="9">
        <f>'Model inputs'!V17+'Model inputs'!W234-'Model inputs'!W214</f>
        <v>119.80047516282634</v>
      </c>
      <c r="X17" s="9">
        <f>'Model inputs'!W17+'Model inputs'!X234-'Model inputs'!X214</f>
        <v>131.38733709111776</v>
      </c>
      <c r="Y17" s="9">
        <f>'Model inputs'!X17+'Model inputs'!Y234-'Model inputs'!Y214</f>
        <v>143.86109149536716</v>
      </c>
      <c r="Z17" s="9">
        <f>'Model inputs'!Y17+'Model inputs'!Z234-'Model inputs'!Z214</f>
        <v>157.29349090321733</v>
      </c>
      <c r="AA17" s="9">
        <f>'Model inputs'!Z17+'Model inputs'!AA234-'Model inputs'!AA214</f>
        <v>171.7620120219311</v>
      </c>
    </row>
    <row r="18">
      <c r="A18" t="inlineStr" s="23">
        <is>
          <t xml:space="preserve">Browser stress factor</t>
        </is>
      </c>
      <c r="AB18" s="9">
        <f>'CheckoutGuard — Assumptions · S'!B11</f>
        <v>3</v>
      </c>
    </row>
    <row r="19">
      <c r="A19" t="inlineStr" s="23">
        <is>
          <t xml:space="preserve">Contribution</t>
        </is>
      </c>
      <c r="B19" s="11">
        <f>SUM('Model inputs'!B20,'Model inputs'!B21,'Model inputs'!B22)</f>
        <v>0</v>
      </c>
      <c r="C19" s="11">
        <f>SUM('Model inputs'!C20,'Model inputs'!C21,'Model inputs'!C22)</f>
        <v>0</v>
      </c>
      <c r="D19" s="11">
        <f>SUM('Model inputs'!D20,'Model inputs'!D21,'Model inputs'!D22)</f>
        <v>320.99084</v>
      </c>
      <c r="E19" s="11">
        <f>SUM('Model inputs'!E20,'Model inputs'!E21,'Model inputs'!E22)</f>
        <v>648.4014968</v>
      </c>
      <c r="F19" s="11">
        <f>SUM('Model inputs'!F20,'Model inputs'!F21,'Model inputs'!F22)</f>
        <v>982.841852996</v>
      </c>
      <c r="G19" s="11">
        <f>SUM('Model inputs'!G20,'Model inputs'!G21,'Model inputs'!G22)</f>
        <v>1324.94361856112</v>
      </c>
      <c r="H19" s="11">
        <f>SUM('Model inputs'!H20,'Model inputs'!H21,'Model inputs'!H22)</f>
        <v>1675.361682217037</v>
      </c>
      <c r="I19" s="11">
        <f>SUM('Model inputs'!I20,'Model inputs'!I21,'Model inputs'!I22)</f>
        <v>2034.7755225739131</v>
      </c>
      <c r="J19" s="11">
        <f>SUM('Model inputs'!J20,'Model inputs'!J21,'Model inputs'!J22)</f>
        <v>2403.8906822612526</v>
      </c>
      <c r="K19" s="11">
        <f>SUM('Model inputs'!K20,'Model inputs'!K21,'Model inputs'!K22)</f>
        <v>2783.4403084262003</v>
      </c>
      <c r="L19" s="11">
        <f>SUM('Model inputs'!L20,'Model inputs'!L21,'Model inputs'!L22)</f>
        <v>3174.1867631378386</v>
      </c>
      <c r="M19" s="11">
        <f>SUM('Model inputs'!M20,'Model inputs'!M21,'Model inputs'!M22)</f>
        <v>3576.923307406349</v>
      </c>
      <c r="N19" s="11">
        <f>SUM('Model inputs'!N20,'Model inputs'!N21,'Model inputs'!N22)</f>
        <v>3992.4758627049364</v>
      </c>
      <c r="O19" s="11">
        <f>SUM('Model inputs'!O20,'Model inputs'!O21,'Model inputs'!O22)</f>
        <v>4421.7048540706055</v>
      </c>
      <c r="P19" s="11">
        <f>SUM('Model inputs'!P20,'Model inputs'!P21,'Model inputs'!P22)</f>
        <v>4865.507139057645</v>
      </c>
      <c r="Q19" s="11">
        <f>SUM('Model inputs'!Q20,'Model inputs'!Q21,'Model inputs'!Q22)</f>
        <v>5324.818027025531</v>
      </c>
      <c r="R19" s="11">
        <f>SUM('Model inputs'!R20,'Model inputs'!R21,'Model inputs'!R22)</f>
        <v>5800.613393461361</v>
      </c>
      <c r="S19" s="11">
        <f>SUM('Model inputs'!S20,'Model inputs'!S21,'Model inputs'!S22)</f>
        <v>6293.911894266446</v>
      </c>
      <c r="T19" s="11">
        <f>SUM('Model inputs'!T20,'Model inputs'!T21,'Model inputs'!T22)</f>
        <v>6805.777285177825</v>
      </c>
      <c r="U19" s="11">
        <f>SUM('Model inputs'!U20,'Model inputs'!U21,'Model inputs'!U22)</f>
        <v>7337.320851748833</v>
      </c>
      <c r="V19" s="11">
        <f>SUM('Model inputs'!V20,'Model inputs'!V21,'Model inputs'!V22)</f>
        <v>7889.703955579025</v>
      </c>
      <c r="W19" s="11">
        <f>SUM('Model inputs'!W20,'Model inputs'!W21,'Model inputs'!W22)</f>
        <v>8464.140702763445</v>
      </c>
      <c r="X19" s="11">
        <f>SUM('Model inputs'!X20,'Model inputs'!X21,'Model inputs'!X22)</f>
        <v>9061.900740824924</v>
      </c>
      <c r="Y19" s="11">
        <f>SUM('Model inputs'!Y20,'Model inputs'!Y21,'Model inputs'!Y22)</f>
        <v>9684.312190701774</v>
      </c>
      <c r="Z19" s="11">
        <f>SUM('Model inputs'!Z20,'Model inputs'!Z21,'Model inputs'!Z22)</f>
        <v>10332.7647206874</v>
      </c>
      <c r="AA19" s="11">
        <f>SUM('Model inputs'!AA20,'Model inputs'!AA21,'Model inputs'!AA22)</f>
        <v>11008.712769558791</v>
      </c>
    </row>
    <row r="20" outlineLevel="1">
      <c r="A20" t="inlineStr" s="24">
        <is>
          <t xml:space="preserve">Contribution &gt; Agency</t>
        </is>
      </c>
      <c r="B20" s="14">
        <f>'Model inputs'!B85-'Model inputs'!B157-'Model inputs'!B153-'Model inputs'!B239</f>
        <v>0</v>
      </c>
      <c r="C20" s="14">
        <f>'Model inputs'!C85-'Model inputs'!C157-'Model inputs'!C153-'Model inputs'!C161</f>
        <v>0</v>
      </c>
      <c r="D20" s="14">
        <f>'Model inputs'!D85-'Model inputs'!D157-'Model inputs'!D153-'Model inputs'!D161</f>
        <v>120.3222</v>
      </c>
      <c r="E20" s="14">
        <f>'Model inputs'!E85-'Model inputs'!E157-'Model inputs'!E153-'Model inputs'!E161</f>
        <v>243.050844</v>
      </c>
      <c r="F20" s="14">
        <f>'Model inputs'!F85-'Model inputs'!F157-'Model inputs'!F153-'Model inputs'!F161</f>
        <v>368.41454418</v>
      </c>
      <c r="G20" s="14">
        <f>'Model inputs'!G85-'Model inputs'!G157-'Model inputs'!G153-'Model inputs'!G161</f>
        <v>496.6500946296</v>
      </c>
      <c r="H20" s="14">
        <f>'Model inputs'!H85-'Model inputs'!H157-'Model inputs'!H153-'Model inputs'!H161</f>
        <v>628.0029779044622</v>
      </c>
      <c r="I20" s="14">
        <f>'Model inputs'!I85-'Model inputs'!I157-'Model inputs'!I153-'Model inputs'!I161</f>
        <v>762.7278939867657</v>
      </c>
      <c r="J20" s="14">
        <f>'Model inputs'!J85-'Model inputs'!J157-'Model inputs'!J153-'Model inputs'!J161</f>
        <v>901.0893128575722</v>
      </c>
      <c r="K20" s="14">
        <f>'Model inputs'!K85-'Model inputs'!K157-'Model inputs'!K153-'Model inputs'!K161</f>
        <v>1043.362051946775</v>
      </c>
      <c r="L20" s="14">
        <f>'Model inputs'!L85-'Model inputs'!L157-'Model inputs'!L153-'Model inputs'!L161</f>
        <v>1189.8318797870481</v>
      </c>
      <c r="M20" s="14">
        <f>'Model inputs'!M85-'Model inputs'!M157-'Model inputs'!M153-'Model inputs'!M161</f>
        <v>1340.796147262047</v>
      </c>
      <c r="N20" s="14">
        <f>'Model inputs'!N85-'Model inputs'!N157-'Model inputs'!N153-'Model inputs'!N161</f>
        <v>1496.5644479062264</v>
      </c>
      <c r="O20" s="14">
        <f>'Model inputs'!O85-'Model inputs'!O157-'Model inputs'!O153-'Model inputs'!O161</f>
        <v>1657.4593087841827</v>
      </c>
      <c r="P20" s="14">
        <f>'Model inputs'!P85-'Model inputs'!P157-'Model inputs'!P153-'Model inputs'!P161</f>
        <v>1823.8169135515573</v>
      </c>
      <c r="Q20" s="14">
        <f>'Model inputs'!Q85-'Model inputs'!Q157-'Model inputs'!Q153-'Model inputs'!Q161</f>
        <v>1995.9878593774556</v>
      </c>
      <c r="R20" s="14">
        <f>'Model inputs'!R85-'Model inputs'!R157-'Model inputs'!R153-'Model inputs'!R161</f>
        <v>2174.3379494901988</v>
      </c>
      <c r="S20" s="14">
        <f>'Model inputs'!S85-'Model inputs'!S157-'Model inputs'!S153-'Model inputs'!S161</f>
        <v>2359.249023194264</v>
      </c>
      <c r="T20" s="14">
        <f>'Model inputs'!T85-'Model inputs'!T157-'Model inputs'!T153-'Model inputs'!T161</f>
        <v>2551.119825296645</v>
      </c>
      <c r="U20" s="14">
        <f>'Model inputs'!U85-'Model inputs'!U157-'Model inputs'!U153-'Model inputs'!U161</f>
        <v>2750.366916975866</v>
      </c>
      <c r="V20" s="14">
        <f>'Model inputs'!V85-'Model inputs'!V157-'Model inputs'!V153-'Model inputs'!V161</f>
        <v>2957.425630226615</v>
      </c>
      <c r="W20" s="14">
        <f>'Model inputs'!W85-'Model inputs'!W157-'Model inputs'!W153-'Model inputs'!W161</f>
        <v>3172.7510681178433</v>
      </c>
      <c r="X20" s="14">
        <f>'Model inputs'!X85-'Model inputs'!X157-'Model inputs'!X153-'Model inputs'!X161</f>
        <v>3396.819153212237</v>
      </c>
      <c r="Y20" s="14">
        <f>'Model inputs'!Y85-'Model inputs'!Y157-'Model inputs'!Y153-'Model inputs'!Y161</f>
        <v>3630.1277266106936</v>
      </c>
      <c r="Z20" s="14">
        <f>'Model inputs'!Z85-'Model inputs'!Z157-'Model inputs'!Z153-'Model inputs'!Z161</f>
        <v>3873.1977002069393</v>
      </c>
      <c r="AA20" s="14">
        <f>'Model inputs'!AA85-'Model inputs'!AA157-'Model inputs'!AA153-'Model inputs'!AA161</f>
        <v>4126.574264865025</v>
      </c>
    </row>
    <row r="21" outlineLevel="1">
      <c r="A21" t="inlineStr" s="24">
        <is>
          <t xml:space="preserve">Contribution &gt; Developer</t>
        </is>
      </c>
      <c r="B21" s="14">
        <f>'Model inputs'!B86-'Model inputs'!B158-'Model inputs'!B154-'Model inputs'!B240</f>
        <v>0</v>
      </c>
      <c r="C21" s="14">
        <f>'Model inputs'!C86-'Model inputs'!C158-'Model inputs'!C154-'Model inputs'!C162</f>
        <v>0</v>
      </c>
      <c r="D21" s="14">
        <f>'Model inputs'!D86-'Model inputs'!D158-'Model inputs'!D154-'Model inputs'!D162</f>
        <v>43.75144</v>
      </c>
      <c r="E21" s="14">
        <f>'Model inputs'!E86-'Model inputs'!E158-'Model inputs'!E154-'Model inputs'!E162</f>
        <v>88.3779088</v>
      </c>
      <c r="F21" s="14">
        <f>'Model inputs'!F86-'Model inputs'!F158-'Model inputs'!F154-'Model inputs'!F162</f>
        <v>133.962534136</v>
      </c>
      <c r="G21" s="14">
        <f>'Model inputs'!G86-'Model inputs'!G158-'Model inputs'!G154-'Model inputs'!G162</f>
        <v>180.59141884192</v>
      </c>
      <c r="H21" s="14">
        <f>'Model inputs'!H86-'Model inputs'!H158-'Model inputs'!H154-'Model inputs'!H162</f>
        <v>228.35382504316243</v>
      </c>
      <c r="I21" s="14">
        <f>'Model inputs'!I86-'Model inputs'!I158-'Model inputs'!I154-'Model inputs'!I162</f>
        <v>277.3423664966926</v>
      </c>
      <c r="J21" s="14">
        <f>'Model inputs'!J86-'Model inputs'!J158-'Model inputs'!J154-'Model inputs'!J162</f>
        <v>327.65320951685806</v>
      </c>
      <c r="K21" s="14">
        <f>'Model inputs'!K86-'Model inputs'!K158-'Model inputs'!K154-'Model inputs'!K162</f>
        <v>379.38628294717194</v>
      </c>
      <c r="L21" s="14">
        <f>'Model inputs'!L86-'Model inputs'!L158-'Model inputs'!L154-'Model inputs'!L162</f>
        <v>432.64549766036737</v>
      </c>
      <c r="M21" s="14">
        <f>'Model inputs'!M86-'Model inputs'!M158-'Model inputs'!M154-'Model inputs'!M162</f>
        <v>487.5389760922475</v>
      </c>
      <c r="N21" s="14">
        <f>'Model inputs'!N86-'Model inputs'!N158-'Model inputs'!N154-'Model inputs'!N162</f>
        <v>544.1792923392558</v>
      </c>
      <c r="O21" s="14">
        <f>'Model inputs'!O86-'Model inputs'!O158-'Model inputs'!O154-'Model inputs'!O162</f>
        <v>602.6837233753425</v>
      </c>
      <c r="P21" s="14">
        <f>'Model inputs'!P86-'Model inputs'!P158-'Model inputs'!P154-'Model inputs'!P162</f>
        <v>663.17451197066</v>
      </c>
      <c r="Q21" s="14">
        <f>'Model inputs'!Q86-'Model inputs'!Q158-'Model inputs'!Q154-'Model inputs'!Q162</f>
        <v>725.7791419229466</v>
      </c>
      <c r="R21" s="14">
        <f>'Model inputs'!R86-'Model inputs'!R158-'Model inputs'!R154-'Model inputs'!R162</f>
        <v>790.6306262422352</v>
      </c>
      <c r="S21" s="14">
        <f>'Model inputs'!S86-'Model inputs'!S158-'Model inputs'!S154-'Model inputs'!S162</f>
        <v>857.8678089607939</v>
      </c>
      <c r="T21" s="14">
        <f>'Model inputs'!T86-'Model inputs'!T158-'Model inputs'!T154-'Model inputs'!T162</f>
        <v>927.6356812730874</v>
      </c>
      <c r="U21" s="14">
        <f>'Model inputs'!U86-'Model inputs'!U158-'Model inputs'!U154-'Model inputs'!U162</f>
        <v>1000.0857127450674</v>
      </c>
      <c r="V21" s="14">
        <f>'Model inputs'!V86-'Model inputs'!V158-'Model inputs'!V154-'Model inputs'!V162</f>
        <v>1075.3761983683971</v>
      </c>
      <c r="W21" s="14">
        <f>'Model inputs'!W86-'Model inputs'!W158-'Model inputs'!W154-'Model inputs'!W162</f>
        <v>1153.672622273311</v>
      </c>
      <c r="X21" s="14">
        <f>'Model inputs'!X86-'Model inputs'!X158-'Model inputs'!X154-'Model inputs'!X162</f>
        <v>1235.1480389538754</v>
      </c>
      <c r="Y21" s="14">
        <f>'Model inputs'!Y86-'Model inputs'!Y158-'Model inputs'!Y154-'Model inputs'!Y162</f>
        <v>1319.983472901461</v>
      </c>
      <c r="Z21" s="14">
        <f>'Model inputs'!Z86-'Model inputs'!Z158-'Model inputs'!Z154-'Model inputs'!Z162</f>
        <v>1408.3683375864293</v>
      </c>
      <c r="AA21" s="14">
        <f>'Model inputs'!AA86-'Model inputs'!AA158-'Model inputs'!AA154-'Model inputs'!AA162</f>
        <v>1500.5008747744494</v>
      </c>
    </row>
    <row r="22" outlineLevel="1">
      <c r="A22" t="inlineStr" s="24">
        <is>
          <t xml:space="preserve">Contribution &gt; Team</t>
        </is>
      </c>
      <c r="B22" s="14">
        <f>'Model inputs'!B87-'Model inputs'!B159-'Model inputs'!B155-'Model inputs'!B241</f>
        <v>0</v>
      </c>
      <c r="C22" s="14">
        <f>'Model inputs'!C87-'Model inputs'!C159-'Model inputs'!C155-'Model inputs'!C163</f>
        <v>0</v>
      </c>
      <c r="D22" s="14">
        <f>'Model inputs'!D87-'Model inputs'!D159-'Model inputs'!D155-'Model inputs'!D163</f>
        <v>156.9172</v>
      </c>
      <c r="E22" s="14">
        <f>'Model inputs'!E87-'Model inputs'!E159-'Model inputs'!E155-'Model inputs'!E163</f>
        <v>316.972744</v>
      </c>
      <c r="F22" s="14">
        <f>'Model inputs'!F87-'Model inputs'!F159-'Model inputs'!F155-'Model inputs'!F163</f>
        <v>480.46477467999995</v>
      </c>
      <c r="G22" s="14">
        <f>'Model inputs'!G87-'Model inputs'!G159-'Model inputs'!G155-'Model inputs'!G163</f>
        <v>647.7021050896001</v>
      </c>
      <c r="H22" s="14">
        <f>'Model inputs'!H87-'Model inputs'!H159-'Model inputs'!H155-'Model inputs'!H163</f>
        <v>819.0048792694123</v>
      </c>
      <c r="I22" s="14">
        <f>'Model inputs'!I87-'Model inputs'!I159-'Model inputs'!I155-'Model inputs'!I163</f>
        <v>994.7052620904549</v>
      </c>
      <c r="J22" s="14">
        <f>'Model inputs'!J87-'Model inputs'!J159-'Model inputs'!J155-'Model inputs'!J163</f>
        <v>1175.1481598868224</v>
      </c>
      <c r="K22" s="14">
        <f>'Model inputs'!K87-'Model inputs'!K159-'Model inputs'!K155-'Model inputs'!K163</f>
        <v>1360.6919735322535</v>
      </c>
      <c r="L22" s="14">
        <f>'Model inputs'!L87-'Model inputs'!L159-'Model inputs'!L155-'Model inputs'!L163</f>
        <v>1551.709385690423</v>
      </c>
      <c r="M22" s="14">
        <f>'Model inputs'!M87-'Model inputs'!M159-'Model inputs'!M155-'Model inputs'!M163</f>
        <v>1748.5881840520544</v>
      </c>
      <c r="N22" s="14">
        <f>'Model inputs'!N87-'Model inputs'!N159-'Model inputs'!N155-'Model inputs'!N163</f>
        <v>1951.7321224594543</v>
      </c>
      <c r="O22" s="14">
        <f>'Model inputs'!O87-'Model inputs'!O159-'Model inputs'!O155-'Model inputs'!O163</f>
        <v>2161.56182191108</v>
      </c>
      <c r="P22" s="14">
        <f>'Model inputs'!P87-'Model inputs'!P159-'Model inputs'!P155-'Model inputs'!P163</f>
        <v>2378.5157135354275</v>
      </c>
      <c r="Q22" s="14">
        <f>'Model inputs'!Q87-'Model inputs'!Q159-'Model inputs'!Q155-'Model inputs'!Q163</f>
        <v>2603.0510257251285</v>
      </c>
      <c r="R22" s="14">
        <f>'Model inputs'!R87-'Model inputs'!R159-'Model inputs'!R155-'Model inputs'!R163</f>
        <v>2835.6448177289267</v>
      </c>
      <c r="S22" s="14">
        <f>'Model inputs'!S87-'Model inputs'!S159-'Model inputs'!S155-'Model inputs'!S163</f>
        <v>3076.7950621113887</v>
      </c>
      <c r="T22" s="14">
        <f>'Model inputs'!T87-'Model inputs'!T159-'Model inputs'!T155-'Model inputs'!T163</f>
        <v>3327.021778608093</v>
      </c>
      <c r="U22" s="14">
        <f>'Model inputs'!U87-'Model inputs'!U159-'Model inputs'!U155-'Model inputs'!U163</f>
        <v>3586.8682220278993</v>
      </c>
      <c r="V22" s="14">
        <f>'Model inputs'!V87-'Model inputs'!V159-'Model inputs'!V155-'Model inputs'!V163</f>
        <v>3856.902126984013</v>
      </c>
      <c r="W22" s="14">
        <f>'Model inputs'!W87-'Model inputs'!W159-'Model inputs'!W155-'Model inputs'!W163</f>
        <v>4137.717012372291</v>
      </c>
      <c r="X22" s="14">
        <f>'Model inputs'!X87-'Model inputs'!X159-'Model inputs'!X155-'Model inputs'!X163</f>
        <v>4429.933548658812</v>
      </c>
      <c r="Y22" s="14">
        <f>'Model inputs'!Y87-'Model inputs'!Y159-'Model inputs'!Y155-'Model inputs'!Y163</f>
        <v>4734.200991189619</v>
      </c>
      <c r="Z22" s="14">
        <f>'Model inputs'!Z87-'Model inputs'!Z159-'Model inputs'!Z155-'Model inputs'!Z163</f>
        <v>5051.198682894032</v>
      </c>
      <c r="AA22" s="14">
        <f>'Model inputs'!AA87-'Model inputs'!AA159-'Model inputs'!AA155-'Model inputs'!AA163</f>
        <v>5381.637629919317</v>
      </c>
    </row>
    <row r="23">
      <c r="A23" t="inlineStr" s="23">
        <is>
          <t xml:space="preserve">Contribution</t>
        </is>
      </c>
      <c r="B23" s="11">
        <f>SUM('Model inputs'!B24,'Model inputs'!B25,'Model inputs'!B26)</f>
        <v>0</v>
      </c>
      <c r="C23" s="11">
        <f>SUM('Model inputs'!C24,'Model inputs'!C25,'Model inputs'!C26)</f>
        <v>0</v>
      </c>
      <c r="D23" s="11">
        <f>SUM('Model inputs'!D24,'Model inputs'!D25,'Model inputs'!D26)</f>
        <v>160.49542</v>
      </c>
      <c r="E23" s="11">
        <f>SUM('Model inputs'!E24,'Model inputs'!E25,'Model inputs'!E26)</f>
        <v>312.966069</v>
      </c>
      <c r="F23" s="11">
        <f>SUM('Model inputs'!F24,'Model inputs'!F25,'Model inputs'!F26)</f>
        <v>457.81318554999996</v>
      </c>
      <c r="G23" s="11">
        <f>SUM('Model inputs'!G24,'Model inputs'!G25,'Model inputs'!G26)</f>
        <v>595.4179462725</v>
      </c>
      <c r="H23" s="11">
        <f>SUM('Model inputs'!H24,'Model inputs'!H25,'Model inputs'!H26)</f>
        <v>726.142468958875</v>
      </c>
      <c r="I23" s="11">
        <f>SUM('Model inputs'!I24,'Model inputs'!I25,'Model inputs'!I26)</f>
        <v>850.3307655109313</v>
      </c>
      <c r="J23" s="11">
        <f>SUM('Model inputs'!J24,'Model inputs'!J25,'Model inputs'!J26)</f>
        <v>968.3096472353847</v>
      </c>
      <c r="K23" s="11">
        <f>SUM('Model inputs'!K24,'Model inputs'!K25,'Model inputs'!K26)</f>
        <v>1080.3895848736156</v>
      </c>
      <c r="L23" s="11">
        <f>SUM('Model inputs'!L24,'Model inputs'!L25,'Model inputs'!L26)</f>
        <v>1186.8655256299346</v>
      </c>
      <c r="M23" s="11">
        <f>SUM('Model inputs'!M24,'Model inputs'!M25,'Model inputs'!M26)</f>
        <v>1288.017669348438</v>
      </c>
      <c r="N23" s="11">
        <f>SUM('Model inputs'!N24,'Model inputs'!N25,'Model inputs'!N26)</f>
        <v>1384.112205881016</v>
      </c>
      <c r="O23" s="11">
        <f>SUM('Model inputs'!O24,'Model inputs'!O25,'Model inputs'!O26)</f>
        <v>1475.4020155869653</v>
      </c>
      <c r="P23" s="11">
        <f>SUM('Model inputs'!P24,'Model inputs'!P25,'Model inputs'!P26)</f>
        <v>1562.127334807617</v>
      </c>
      <c r="Q23" s="11">
        <f>SUM('Model inputs'!Q24,'Model inputs'!Q25,'Model inputs'!Q26)</f>
        <v>1644.5163880672362</v>
      </c>
      <c r="R23" s="11">
        <f>SUM('Model inputs'!R24,'Model inputs'!R25,'Model inputs'!R26)</f>
        <v>1722.7859886638744</v>
      </c>
      <c r="S23" s="11">
        <f>SUM('Model inputs'!S24,'Model inputs'!S25,'Model inputs'!S26)</f>
        <v>1797.1421092306807</v>
      </c>
      <c r="T23" s="11">
        <f>SUM('Model inputs'!T24,'Model inputs'!T25,'Model inputs'!T26)</f>
        <v>1867.7804237691466</v>
      </c>
      <c r="U23" s="11">
        <f>SUM('Model inputs'!U24,'Model inputs'!U25,'Model inputs'!U26)</f>
        <v>1934.8868225806893</v>
      </c>
      <c r="V23" s="11">
        <f>SUM('Model inputs'!V24,'Model inputs'!V25,'Model inputs'!V26)</f>
        <v>1998.6379014516547</v>
      </c>
      <c r="W23" s="11">
        <f>SUM('Model inputs'!W24,'Model inputs'!W25,'Model inputs'!W26)</f>
        <v>2059.201426379072</v>
      </c>
      <c r="X23" s="11">
        <f>SUM('Model inputs'!X24,'Model inputs'!X25,'Model inputs'!X26)</f>
        <v>2116.7367750601184</v>
      </c>
      <c r="Y23" s="11">
        <f>SUM('Model inputs'!Y24,'Model inputs'!Y25,'Model inputs'!Y26)</f>
        <v>2171.3953563071127</v>
      </c>
      <c r="Z23" s="11">
        <f>SUM('Model inputs'!Z24,'Model inputs'!Z25,'Model inputs'!Z26)</f>
        <v>2223.3210084917573</v>
      </c>
      <c r="AA23" s="11">
        <f>SUM('Model inputs'!AA24,'Model inputs'!AA25,'Model inputs'!AA26)</f>
        <v>2272.650378067169</v>
      </c>
    </row>
    <row r="24" outlineLevel="1">
      <c r="A24" t="inlineStr" s="24">
        <is>
          <t xml:space="preserve">Contribution &gt; Agency</t>
        </is>
      </c>
      <c r="B24" s="14">
        <f>'Model inputs'!B89-'Model inputs'!B251-'Model inputs'!B262-'Model inputs'!B243</f>
        <v>0</v>
      </c>
      <c r="C24" s="14">
        <f>'Model inputs'!C89-'Model inputs'!C251-'Model inputs'!C262-'Model inputs'!C243</f>
        <v>0</v>
      </c>
      <c r="D24" s="14">
        <f>'Model inputs'!D89-'Model inputs'!D251-'Model inputs'!D262-'Model inputs'!D243</f>
        <v>60.1611</v>
      </c>
      <c r="E24" s="14">
        <f>'Model inputs'!E89-'Model inputs'!E251-'Model inputs'!E262-'Model inputs'!E243</f>
        <v>117.314145</v>
      </c>
      <c r="F24" s="14">
        <f>'Model inputs'!F89-'Model inputs'!F251-'Model inputs'!F262-'Model inputs'!F243</f>
        <v>171.60953775</v>
      </c>
      <c r="G24" s="14">
        <f>'Model inputs'!G89-'Model inputs'!G251-'Model inputs'!G262-'Model inputs'!G243</f>
        <v>223.19016086250002</v>
      </c>
      <c r="H24" s="14">
        <f>'Model inputs'!H89-'Model inputs'!H251-'Model inputs'!H262-'Model inputs'!H243</f>
        <v>272.191752819375</v>
      </c>
      <c r="I24" s="14">
        <f>'Model inputs'!I89-'Model inputs'!I251-'Model inputs'!I262-'Model inputs'!I243</f>
        <v>318.74326517840626</v>
      </c>
      <c r="J24" s="14">
        <f>'Model inputs'!J89-'Model inputs'!J251-'Model inputs'!J262-'Model inputs'!J243</f>
        <v>362.96720191948594</v>
      </c>
      <c r="K24" s="14">
        <f>'Model inputs'!K89-'Model inputs'!K251-'Model inputs'!K262-'Model inputs'!K243</f>
        <v>404.97994182351164</v>
      </c>
      <c r="L24" s="14">
        <f>'Model inputs'!L89-'Model inputs'!L251-'Model inputs'!L262-'Model inputs'!L243</f>
        <v>444.89204473233605</v>
      </c>
      <c r="M24" s="14">
        <f>'Model inputs'!M89-'Model inputs'!M251-'Model inputs'!M262-'Model inputs'!M243</f>
        <v>482.8085424957193</v>
      </c>
      <c r="N24" s="14">
        <f>'Model inputs'!N89-'Model inputs'!N251-'Model inputs'!N262-'Model inputs'!N243</f>
        <v>518.8292153709333</v>
      </c>
      <c r="O24" s="14">
        <f>'Model inputs'!O89-'Model inputs'!O251-'Model inputs'!O262-'Model inputs'!O243</f>
        <v>553.0488546023867</v>
      </c>
      <c r="P24" s="14">
        <f>'Model inputs'!P89-'Model inputs'!P251-'Model inputs'!P262-'Model inputs'!P243</f>
        <v>585.5575118722674</v>
      </c>
      <c r="Q24" s="14">
        <f>'Model inputs'!Q89-'Model inputs'!Q251-'Model inputs'!Q262-'Model inputs'!Q243</f>
        <v>616.440736278654</v>
      </c>
      <c r="R24" s="14">
        <f>'Model inputs'!R89-'Model inputs'!R251-'Model inputs'!R262-'Model inputs'!R243</f>
        <v>645.7797994647212</v>
      </c>
      <c r="S24" s="14">
        <f>'Model inputs'!S89-'Model inputs'!S251-'Model inputs'!S262-'Model inputs'!S243</f>
        <v>673.6519094914852</v>
      </c>
      <c r="T24" s="14">
        <f>'Model inputs'!T89-'Model inputs'!T251-'Model inputs'!T262-'Model inputs'!T243</f>
        <v>700.130414016911</v>
      </c>
      <c r="U24" s="14">
        <f>'Model inputs'!U89-'Model inputs'!U251-'Model inputs'!U262-'Model inputs'!U243</f>
        <v>725.2849933160654</v>
      </c>
      <c r="V24" s="14">
        <f>'Model inputs'!V89-'Model inputs'!V251-'Model inputs'!V262-'Model inputs'!V243</f>
        <v>749.1818436502621</v>
      </c>
      <c r="W24" s="14">
        <f>'Model inputs'!W89-'Model inputs'!W251-'Model inputs'!W262-'Model inputs'!W243</f>
        <v>771.8838514677491</v>
      </c>
      <c r="X24" s="14">
        <f>'Model inputs'!X89-'Model inputs'!X251-'Model inputs'!X262-'Model inputs'!X243</f>
        <v>793.4507588943617</v>
      </c>
      <c r="Y24" s="14">
        <f>'Model inputs'!Y89-'Model inputs'!Y251-'Model inputs'!Y262-'Model inputs'!Y243</f>
        <v>813.9393209496435</v>
      </c>
      <c r="Z24" s="14">
        <f>'Model inputs'!Z89-'Model inputs'!Z251-'Model inputs'!Z262-'Model inputs'!Z243</f>
        <v>833.4034549021615</v>
      </c>
      <c r="AA24" s="14">
        <f>'Model inputs'!AA89-'Model inputs'!AA251-'Model inputs'!AA262-'Model inputs'!AA243</f>
        <v>851.8943821570532</v>
      </c>
    </row>
    <row r="25" outlineLevel="1">
      <c r="A25" t="inlineStr" s="24">
        <is>
          <t xml:space="preserve">Contribution &gt; Developer</t>
        </is>
      </c>
      <c r="B25" s="14">
        <f>'Model inputs'!B90-'Model inputs'!B252-'Model inputs'!B263-'Model inputs'!B244</f>
        <v>0</v>
      </c>
      <c r="C25" s="14">
        <f>'Model inputs'!C90-'Model inputs'!C252-'Model inputs'!C263-'Model inputs'!C244</f>
        <v>0</v>
      </c>
      <c r="D25" s="14">
        <f>'Model inputs'!D90-'Model inputs'!D252-'Model inputs'!D263-'Model inputs'!D244</f>
        <v>21.87572</v>
      </c>
      <c r="E25" s="14">
        <f>'Model inputs'!E90-'Model inputs'!E252-'Model inputs'!E263-'Model inputs'!E244</f>
        <v>42.657653999999994</v>
      </c>
      <c r="F25" s="14">
        <f>'Model inputs'!F90-'Model inputs'!F252-'Model inputs'!F263-'Model inputs'!F244</f>
        <v>62.4004913</v>
      </c>
      <c r="G25" s="14">
        <f>'Model inputs'!G90-'Model inputs'!G252-'Model inputs'!G263-'Model inputs'!G244</f>
        <v>81.156186735</v>
      </c>
      <c r="H25" s="14">
        <f>'Model inputs'!H90-'Model inputs'!H252-'Model inputs'!H263-'Model inputs'!H244</f>
        <v>98.97409739825</v>
      </c>
      <c r="I25" s="14">
        <f>'Model inputs'!I90-'Model inputs'!I252-'Model inputs'!I263-'Model inputs'!I244</f>
        <v>115.9011125283375</v>
      </c>
      <c r="J25" s="14">
        <f>'Model inputs'!J90-'Model inputs'!J252-'Model inputs'!J263-'Model inputs'!J244</f>
        <v>131.98177690192065</v>
      </c>
      <c r="K25" s="14">
        <f>'Model inputs'!K90-'Model inputs'!K252-'Model inputs'!K263-'Model inputs'!K244</f>
        <v>147.2584080568246</v>
      </c>
      <c r="L25" s="14">
        <f>'Model inputs'!L90-'Model inputs'!L252-'Model inputs'!L263-'Model inputs'!L244</f>
        <v>161.77120765398337</v>
      </c>
      <c r="M25" s="14">
        <f>'Model inputs'!M90-'Model inputs'!M252-'Model inputs'!M263-'Model inputs'!M244</f>
        <v>175.55836727128423</v>
      </c>
      <c r="N25" s="14">
        <f>'Model inputs'!N90-'Model inputs'!N252-'Model inputs'!N263-'Model inputs'!N244</f>
        <v>188.65616890772003</v>
      </c>
      <c r="O25" s="14">
        <f>'Model inputs'!O90-'Model inputs'!O252-'Model inputs'!O263-'Model inputs'!O244</f>
        <v>201.09908046233403</v>
      </c>
      <c r="P25" s="14">
        <f>'Model inputs'!P90-'Model inputs'!P252-'Model inputs'!P263-'Model inputs'!P244</f>
        <v>212.91984643921734</v>
      </c>
      <c r="Q25" s="14">
        <f>'Model inputs'!Q90-'Model inputs'!Q252-'Model inputs'!Q263-'Model inputs'!Q244</f>
        <v>224.14957411725644</v>
      </c>
      <c r="R25" s="14">
        <f>'Model inputs'!R90-'Model inputs'!R252-'Model inputs'!R263-'Model inputs'!R244</f>
        <v>234.8178154113936</v>
      </c>
      <c r="S25" s="14">
        <f>'Model inputs'!S90-'Model inputs'!S252-'Model inputs'!S263-'Model inputs'!S244</f>
        <v>244.95264464082393</v>
      </c>
      <c r="T25" s="14">
        <f>'Model inputs'!T90-'Model inputs'!T252-'Model inputs'!T263-'Model inputs'!T244</f>
        <v>254.58073240878272</v>
      </c>
      <c r="U25" s="14">
        <f>'Model inputs'!U90-'Model inputs'!U252-'Model inputs'!U263-'Model inputs'!U244</f>
        <v>263.72741578834365</v>
      </c>
      <c r="V25" s="14">
        <f>'Model inputs'!V90-'Model inputs'!V252-'Model inputs'!V263-'Model inputs'!V244</f>
        <v>272.41676499892634</v>
      </c>
      <c r="W25" s="14">
        <f>'Model inputs'!W90-'Model inputs'!W252-'Model inputs'!W263-'Model inputs'!W244</f>
        <v>280.67164674898004</v>
      </c>
      <c r="X25" s="14">
        <f>'Model inputs'!X90-'Model inputs'!X252-'Model inputs'!X263-'Model inputs'!X244</f>
        <v>288.51378441153105</v>
      </c>
      <c r="Y25" s="14">
        <f>'Model inputs'!Y90-'Model inputs'!Y252-'Model inputs'!Y263-'Model inputs'!Y244</f>
        <v>295.9638151909546</v>
      </c>
      <c r="Z25" s="14">
        <f>'Model inputs'!Z90-'Model inputs'!Z252-'Model inputs'!Z263-'Model inputs'!Z244</f>
        <v>303.04134443140686</v>
      </c>
      <c r="AA25" s="14">
        <f>'Model inputs'!AA90-'Model inputs'!AA252-'Model inputs'!AA263-'Model inputs'!AA244</f>
        <v>309.76499720983645</v>
      </c>
    </row>
    <row r="26" outlineLevel="1">
      <c r="A26" t="inlineStr" s="24">
        <is>
          <t xml:space="preserve">Contribution &gt; Team</t>
        </is>
      </c>
      <c r="B26" s="14">
        <f>'Model inputs'!B91-'Model inputs'!B253-'Model inputs'!B264-'Model inputs'!B245</f>
        <v>0</v>
      </c>
      <c r="C26" s="14">
        <f>'Model inputs'!C91-'Model inputs'!C253-'Model inputs'!C264-'Model inputs'!C245</f>
        <v>0</v>
      </c>
      <c r="D26" s="14">
        <f>'Model inputs'!D91-'Model inputs'!D253-'Model inputs'!D264-'Model inputs'!D245</f>
        <v>78.4586</v>
      </c>
      <c r="E26" s="14">
        <f>'Model inputs'!E91-'Model inputs'!E253-'Model inputs'!E264-'Model inputs'!E245</f>
        <v>152.99427</v>
      </c>
      <c r="F26" s="14">
        <f>'Model inputs'!F91-'Model inputs'!F253-'Model inputs'!F264-'Model inputs'!F245</f>
        <v>223.8031565</v>
      </c>
      <c r="G26" s="14">
        <f>'Model inputs'!G91-'Model inputs'!G253-'Model inputs'!G264-'Model inputs'!G245</f>
        <v>291.07159867499996</v>
      </c>
      <c r="H26" s="14">
        <f>'Model inputs'!H91-'Model inputs'!H253-'Model inputs'!H264-'Model inputs'!H245</f>
        <v>354.97661874125004</v>
      </c>
      <c r="I26" s="14">
        <f>'Model inputs'!I91-'Model inputs'!I253-'Model inputs'!I264-'Model inputs'!I245</f>
        <v>415.6863878041875</v>
      </c>
      <c r="J26" s="14">
        <f>'Model inputs'!J91-'Model inputs'!J253-'Model inputs'!J264-'Model inputs'!J245</f>
        <v>473.3606684139781</v>
      </c>
      <c r="K26" s="14">
        <f>'Model inputs'!K91-'Model inputs'!K253-'Model inputs'!K264-'Model inputs'!K245</f>
        <v>528.1512349932792</v>
      </c>
      <c r="L26" s="14">
        <f>'Model inputs'!L91-'Model inputs'!L253-'Model inputs'!L264-'Model inputs'!L245</f>
        <v>580.2022732436152</v>
      </c>
      <c r="M26" s="14">
        <f>'Model inputs'!M91-'Model inputs'!M253-'Model inputs'!M264-'Model inputs'!M245</f>
        <v>629.6507595814345</v>
      </c>
      <c r="N26" s="14">
        <f>'Model inputs'!N91-'Model inputs'!N253-'Model inputs'!N264-'Model inputs'!N245</f>
        <v>676.6268216023628</v>
      </c>
      <c r="O26" s="14">
        <f>'Model inputs'!O91-'Model inputs'!O253-'Model inputs'!O264-'Model inputs'!O245</f>
        <v>721.2540805222446</v>
      </c>
      <c r="P26" s="14">
        <f>'Model inputs'!P91-'Model inputs'!P253-'Model inputs'!P264-'Model inputs'!P245</f>
        <v>763.6499764961324</v>
      </c>
      <c r="Q26" s="14">
        <f>'Model inputs'!Q91-'Model inputs'!Q253-'Model inputs'!Q264-'Model inputs'!Q245</f>
        <v>803.9260776713259</v>
      </c>
      <c r="R26" s="14">
        <f>'Model inputs'!R91-'Model inputs'!R253-'Model inputs'!R264-'Model inputs'!R245</f>
        <v>842.1883737877595</v>
      </c>
      <c r="S26" s="14">
        <f>'Model inputs'!S91-'Model inputs'!S253-'Model inputs'!S264-'Model inputs'!S245</f>
        <v>878.5375550983716</v>
      </c>
      <c r="T26" s="14">
        <f>'Model inputs'!T91-'Model inputs'!T253-'Model inputs'!T264-'Model inputs'!T245</f>
        <v>913.069277343453</v>
      </c>
      <c r="U26" s="14">
        <f>'Model inputs'!U91-'Model inputs'!U253-'Model inputs'!U264-'Model inputs'!U245</f>
        <v>945.8744134762802</v>
      </c>
      <c r="V26" s="14">
        <f>'Model inputs'!V91-'Model inputs'!V253-'Model inputs'!V264-'Model inputs'!V245</f>
        <v>977.0392928024663</v>
      </c>
      <c r="W26" s="14">
        <f>'Model inputs'!W91-'Model inputs'!W253-'Model inputs'!W264-'Model inputs'!W245</f>
        <v>1006.6459281623429</v>
      </c>
      <c r="X26" s="14">
        <f>'Model inputs'!X91-'Model inputs'!X253-'Model inputs'!X264-'Model inputs'!X245</f>
        <v>1034.7722317542257</v>
      </c>
      <c r="Y26" s="14">
        <f>'Model inputs'!Y91-'Model inputs'!Y253-'Model inputs'!Y264-'Model inputs'!Y245</f>
        <v>1061.4922201665147</v>
      </c>
      <c r="Z26" s="14">
        <f>'Model inputs'!Z91-'Model inputs'!Z253-'Model inputs'!Z264-'Model inputs'!Z245</f>
        <v>1086.8762091581889</v>
      </c>
      <c r="AA26" s="14">
        <f>'Model inputs'!AA91-'Model inputs'!AA253-'Model inputs'!AA264-'Model inputs'!AA245</f>
        <v>1110.9909987002795</v>
      </c>
    </row>
    <row r="27">
      <c r="A27" t="inlineStr" s="23">
        <is>
          <t xml:space="preserve">Contribution</t>
        </is>
      </c>
      <c r="B27" s="11">
        <f>SUM('Model inputs'!B28,'Model inputs'!B29,'Model inputs'!B30)</f>
        <v>0</v>
      </c>
      <c r="C27" s="11">
        <f>SUM('Model inputs'!C28,'Model inputs'!C29,'Model inputs'!C30)</f>
        <v>0</v>
      </c>
      <c r="D27" s="11">
        <f>SUM('Model inputs'!D28,'Model inputs'!D29,'Model inputs'!D30)</f>
        <v>563.5230799999999</v>
      </c>
      <c r="E27" s="11">
        <f>SUM('Model inputs'!E28,'Model inputs'!E29,'Model inputs'!E30)</f>
        <v>1160.8575448000001</v>
      </c>
      <c r="F27" s="11">
        <f>SUM('Model inputs'!F28,'Model inputs'!F29,'Model inputs'!F30)</f>
        <v>1794.933714416</v>
      </c>
      <c r="G27" s="11">
        <f>SUM('Model inputs'!G28,'Model inputs'!G29,'Model inputs'!G30)</f>
        <v>2468.91182628064</v>
      </c>
      <c r="H27" s="11">
        <f>SUM('Model inputs'!H28,'Model inputs'!H29,'Model inputs'!H30)</f>
        <v>3186.2005188002245</v>
      </c>
      <c r="I27" s="11">
        <f>SUM('Model inputs'!I28,'Model inputs'!I29,'Model inputs'!I30)</f>
        <v>3950.4767917930335</v>
      </c>
      <c r="J27" s="11">
        <f>SUM('Model inputs'!J28,'Model inputs'!J29,'Model inputs'!J30)</f>
        <v>4765.70756199549</v>
      </c>
      <c r="K27" s="11">
        <f>SUM('Model inputs'!K28,'Model inputs'!K29,'Model inputs'!K30)</f>
        <v>5636.172941276964</v>
      </c>
      <c r="L27" s="11">
        <f>SUM('Model inputs'!L28,'Model inputs'!L29,'Model inputs'!L30)</f>
        <v>6566.491375414519</v>
      </c>
      <c r="M27" s="11">
        <f>SUM('Model inputs'!M28,'Model inputs'!M29,'Model inputs'!M30)</f>
        <v>7561.646792306371</v>
      </c>
      <c r="N27" s="11">
        <f>SUM('Model inputs'!N28,'Model inputs'!N29,'Model inputs'!N30)</f>
        <v>8627.017920412396</v>
      </c>
      <c r="O27" s="11">
        <f>SUM('Model inputs'!O28,'Model inputs'!O29,'Model inputs'!O30)</f>
        <v>9768.409951072474</v>
      </c>
      <c r="P27" s="11">
        <f>SUM('Model inputs'!P28,'Model inputs'!P29,'Model inputs'!P30)</f>
        <v>10992.088732244818</v>
      </c>
      <c r="Q27" s="11">
        <f>SUM('Model inputs'!Q28,'Model inputs'!Q29,'Model inputs'!Q30)</f>
        <v>12304.817696209215</v>
      </c>
      <c r="R27" s="11">
        <f>SUM('Model inputs'!R28,'Model inputs'!R29,'Model inputs'!R30)</f>
        <v>13713.89773998307</v>
      </c>
      <c r="S27" s="11">
        <f>SUM('Model inputs'!S28,'Model inputs'!S29,'Model inputs'!S30)</f>
        <v>15227.21029469729</v>
      </c>
      <c r="T27" s="11">
        <f>SUM('Model inputs'!T28,'Model inputs'!T29,'Model inputs'!T30)</f>
        <v>16853.26383907834</v>
      </c>
      <c r="U27" s="11">
        <f>SUM('Model inputs'!U28,'Model inputs'!U29,'Model inputs'!U30)</f>
        <v>18601.244132593765</v>
      </c>
      <c r="V27" s="11">
        <f>SUM('Model inputs'!V28,'Model inputs'!V29,'Model inputs'!V30)</f>
        <v>20481.06846586264</v>
      </c>
      <c r="W27" s="11">
        <f>SUM('Model inputs'!W28,'Model inputs'!W29,'Model inputs'!W30)</f>
        <v>22503.444249739798</v>
      </c>
      <c r="X27" s="11">
        <f>SUM('Model inputs'!X28,'Model inputs'!X29,'Model inputs'!X30)</f>
        <v>24679.932290194967</v>
      </c>
      <c r="Y27" s="11">
        <f>SUM('Model inputs'!Y28,'Model inputs'!Y29,'Model inputs'!Y30)</f>
        <v>27023.01512387703</v>
      </c>
      <c r="Z27" s="11">
        <f>SUM('Model inputs'!Z28,'Model inputs'!Z29,'Model inputs'!Z30)</f>
        <v>29546.170819244333</v>
      </c>
      <c r="AA27" s="11">
        <f>SUM('Model inputs'!AA28,'Model inputs'!AA29,'Model inputs'!AA30)</f>
        <v>32263.95268053187</v>
      </c>
    </row>
    <row r="28" outlineLevel="1">
      <c r="A28" t="inlineStr" s="24">
        <is>
          <t xml:space="preserve">Contribution &gt; Agency</t>
        </is>
      </c>
      <c r="B28" s="14">
        <f>'Model inputs'!B93-'Model inputs'!B255-'Model inputs'!B266-'Model inputs'!B247</f>
        <v>0</v>
      </c>
      <c r="C28" s="14">
        <f>'Model inputs'!C93-'Model inputs'!C255-'Model inputs'!C266-'Model inputs'!C247</f>
        <v>0</v>
      </c>
      <c r="D28" s="14">
        <f>'Model inputs'!D93-'Model inputs'!D255-'Model inputs'!D266-'Model inputs'!D247</f>
        <v>240.6444</v>
      </c>
      <c r="E28" s="14">
        <f>'Model inputs'!E93-'Model inputs'!E255-'Model inputs'!E266-'Model inputs'!E247</f>
        <v>495.7274640000001</v>
      </c>
      <c r="F28" s="14">
        <f>'Model inputs'!F93-'Model inputs'!F255-'Model inputs'!F266-'Model inputs'!F247</f>
        <v>766.50054288</v>
      </c>
      <c r="G28" s="14">
        <f>'Model inputs'!G93-'Model inputs'!G255-'Model inputs'!G266-'Model inputs'!G247</f>
        <v>1054.3131704352</v>
      </c>
      <c r="H28" s="14">
        <f>'Model inputs'!H93-'Model inputs'!H255-'Model inputs'!H266-'Model inputs'!H247</f>
        <v>1360.62095651232</v>
      </c>
      <c r="I28" s="14">
        <f>'Model inputs'!I93-'Model inputs'!I255-'Model inputs'!I266-'Model inputs'!I247</f>
        <v>1686.994110826764</v>
      </c>
      <c r="J28" s="14">
        <f>'Model inputs'!J93-'Model inputs'!J255-'Model inputs'!J266-'Model inputs'!J247</f>
        <v>2035.1266479304943</v>
      </c>
      <c r="K28" s="14">
        <f>'Model inputs'!K93-'Model inputs'!K255-'Model inputs'!K266-'Model inputs'!K247</f>
        <v>2406.8463278377703</v>
      </c>
      <c r="L28" s="14">
        <f>'Model inputs'!L93-'Model inputs'!L255-'Model inputs'!L266-'Model inputs'!L247</f>
        <v>2804.125391176173</v>
      </c>
      <c r="M28" s="14">
        <f>'Model inputs'!M93-'Model inputs'!M255-'Model inputs'!M266-'Model inputs'!M247</f>
        <v>3229.0921524394194</v>
      </c>
      <c r="N28" s="14">
        <f>'Model inputs'!N93-'Model inputs'!N255-'Model inputs'!N266-'Model inputs'!N247</f>
        <v>3684.0435200043416</v>
      </c>
      <c r="O28" s="14">
        <f>'Model inputs'!O93-'Model inputs'!O255-'Model inputs'!O266-'Model inputs'!O247</f>
        <v>4171.458517067063</v>
      </c>
      <c r="P28" s="14">
        <f>'Model inputs'!P93-'Model inputs'!P255-'Model inputs'!P266-'Model inputs'!P247</f>
        <v>4694.012883585558</v>
      </c>
      <c r="Q28" s="14">
        <f>'Model inputs'!Q93-'Model inputs'!Q255-'Model inputs'!Q266-'Model inputs'!Q247</f>
        <v>5254.594845722466</v>
      </c>
      <c r="R28" s="14">
        <f>'Model inputs'!R93-'Model inputs'!R255-'Model inputs'!R266-'Model inputs'!R247</f>
        <v>5856.322146201326</v>
      </c>
      <c r="S28" s="14">
        <f>'Model inputs'!S93-'Model inputs'!S255-'Model inputs'!S266-'Model inputs'!S247</f>
        <v>6502.560436462075</v>
      </c>
      <c r="T28" s="14">
        <f>'Model inputs'!T93-'Model inputs'!T255-'Model inputs'!T266-'Model inputs'!T247</f>
        <v>7196.94313957239</v>
      </c>
      <c r="U28" s="14">
        <f>'Model inputs'!U93-'Model inputs'!U255-'Model inputs'!U266-'Model inputs'!U247</f>
        <v>7943.392901567664</v>
      </c>
      <c r="V28" s="14">
        <f>'Model inputs'!V93-'Model inputs'!V255-'Model inputs'!V266-'Model inputs'!V247</f>
        <v>8746.144758305969</v>
      </c>
      <c r="W28" s="14">
        <f>'Model inputs'!W93-'Model inputs'!W255-'Model inputs'!W266-'Model inputs'!W247</f>
        <v>9609.77115509108</v>
      </c>
      <c r="X28" s="14">
        <f>'Model inputs'!X93-'Model inputs'!X255-'Model inputs'!X266-'Model inputs'!X247</f>
        <v>10539.208967296589</v>
      </c>
      <c r="Y28" s="14">
        <f>'Model inputs'!Y93-'Model inputs'!Y255-'Model inputs'!Y266-'Model inputs'!Y247</f>
        <v>11539.788682082575</v>
      </c>
      <c r="Z28" s="14">
        <f>'Model inputs'!Z93-'Model inputs'!Z255-'Model inputs'!Z266-'Model inputs'!Z247</f>
        <v>12617.265914103395</v>
      </c>
      <c r="AA28" s="14">
        <f>'Model inputs'!AA93-'Model inputs'!AA255-'Model inputs'!AA266-'Model inputs'!AA247</f>
        <v>13777.855441936794</v>
      </c>
    </row>
    <row r="29" outlineLevel="1">
      <c r="A29" t="inlineStr" s="24">
        <is>
          <t xml:space="preserve">Contribution &gt; Developer</t>
        </is>
      </c>
      <c r="B29" s="14">
        <f>'Model inputs'!B94-'Model inputs'!B256-'Model inputs'!B267-'Model inputs'!B248</f>
        <v>0</v>
      </c>
      <c r="C29" s="14">
        <f>'Model inputs'!C94-'Model inputs'!C256-'Model inputs'!C267-'Model inputs'!C248</f>
        <v>0</v>
      </c>
      <c r="D29" s="14">
        <f>'Model inputs'!D94-'Model inputs'!D256-'Model inputs'!D267-'Model inputs'!D248</f>
        <v>87.50288</v>
      </c>
      <c r="E29" s="14">
        <f>'Model inputs'!E94-'Model inputs'!E256-'Model inputs'!E267-'Model inputs'!E248</f>
        <v>180.25593279999998</v>
      </c>
      <c r="F29" s="14">
        <f>'Model inputs'!F94-'Model inputs'!F256-'Model inputs'!F267-'Model inputs'!F248</f>
        <v>278.71417337599996</v>
      </c>
      <c r="G29" s="14">
        <f>'Model inputs'!G94-'Model inputs'!G256-'Model inputs'!G267-'Model inputs'!G248</f>
        <v>383.36831787904</v>
      </c>
      <c r="H29" s="14">
        <f>'Model inputs'!H94-'Model inputs'!H256-'Model inputs'!H267-'Model inputs'!H248</f>
        <v>494.74765372966397</v>
      </c>
      <c r="I29" s="14">
        <f>'Model inputs'!I94-'Model inputs'!I256-'Model inputs'!I267-'Model inputs'!I248</f>
        <v>613.4231390399322</v>
      </c>
      <c r="J29" s="14">
        <f>'Model inputs'!J94-'Model inputs'!J256-'Model inputs'!J267-'Model inputs'!J248</f>
        <v>740.0107497147834</v>
      </c>
      <c r="K29" s="14">
        <f>'Model inputs'!K94-'Model inputs'!K256-'Model inputs'!K267-'Model inputs'!K248</f>
        <v>875.17509405259</v>
      </c>
      <c r="L29" s="14">
        <f>'Model inputs'!L94-'Model inputs'!L256-'Model inputs'!L267-'Model inputs'!L248</f>
        <v>1019.6333162502085</v>
      </c>
      <c r="M29" s="14">
        <f>'Model inputs'!M94-'Model inputs'!M256-'Model inputs'!M267-'Model inputs'!M248</f>
        <v>1174.1593119301683</v>
      </c>
      <c r="N29" s="14">
        <f>'Model inputs'!N94-'Model inputs'!N256-'Model inputs'!N267-'Model inputs'!N248</f>
        <v>1339.588280656926</v>
      </c>
      <c r="O29" s="14">
        <f>'Model inputs'!O94-'Model inputs'!O256-'Model inputs'!O267-'Model inputs'!O248</f>
        <v>1516.8216424063774</v>
      </c>
      <c r="P29" s="14">
        <f>'Model inputs'!P94-'Model inputs'!P256-'Model inputs'!P267-'Model inputs'!P248</f>
        <v>1706.8323471098472</v>
      </c>
      <c r="Q29" s="14">
        <f>'Model inputs'!Q94-'Model inputs'!Q256-'Model inputs'!Q267-'Model inputs'!Q248</f>
        <v>1910.6706087233754</v>
      </c>
      <c r="R29" s="14">
        <f>'Model inputs'!R94-'Model inputs'!R256-'Model inputs'!R267-'Model inputs'!R248</f>
        <v>2129.470097789091</v>
      </c>
      <c r="S29" s="14">
        <f>'Model inputs'!S94-'Model inputs'!S256-'Model inputs'!S267-'Model inputs'!S248</f>
        <v>2364.454629172707</v>
      </c>
      <c r="T29" s="14">
        <f>'Model inputs'!T94-'Model inputs'!T256-'Model inputs'!T267-'Model inputs'!T248</f>
        <v>2616.9453845958024</v>
      </c>
      <c r="U29" s="14">
        <f>'Model inputs'!U94-'Model inputs'!U256-'Model inputs'!U267-'Model inputs'!U248</f>
        <v>2888.3687127509597</v>
      </c>
      <c r="V29" s="14">
        <f>'Model inputs'!V94-'Model inputs'!V256-'Model inputs'!V267-'Model inputs'!V248</f>
        <v>3180.2645532107804</v>
      </c>
      <c r="W29" s="14">
        <f>'Model inputs'!W94-'Model inputs'!W256-'Model inputs'!W267-'Model inputs'!W248</f>
        <v>3494.295534038591</v>
      </c>
      <c r="X29" s="14">
        <f>'Model inputs'!X94-'Model inputs'!X256-'Model inputs'!X267-'Model inputs'!X248</f>
        <v>3832.256797001208</v>
      </c>
      <c r="Y29" s="14">
        <f>'Model inputs'!Y94-'Model inputs'!Y256-'Model inputs'!Y267-'Model inputs'!Y248</f>
        <v>4196.086608596042</v>
      </c>
      <c r="Z29" s="14">
        <f>'Model inputs'!Z94-'Model inputs'!Z256-'Model inputs'!Z267-'Model inputs'!Z248</f>
        <v>4587.877819761771</v>
      </c>
      <c r="AA29" s="14">
        <f>'Model inputs'!AA94-'Model inputs'!AA256-'Model inputs'!AA267-'Model inputs'!AA248</f>
        <v>5009.8902421711955</v>
      </c>
    </row>
    <row r="30" outlineLevel="1">
      <c r="A30" t="inlineStr" s="24">
        <is>
          <t xml:space="preserve">Contribution &gt; Team</t>
        </is>
      </c>
      <c r="B30" s="14">
        <f>'Model inputs'!B95-'Model inputs'!B257-'Model inputs'!B268-'Model inputs'!B249</f>
        <v>0</v>
      </c>
      <c r="C30" s="14">
        <f>'Model inputs'!C95-'Model inputs'!C257-'Model inputs'!C268-'Model inputs'!C249</f>
        <v>0</v>
      </c>
      <c r="D30" s="14">
        <f>'Model inputs'!D95-'Model inputs'!D257-'Model inputs'!D268-'Model inputs'!D249</f>
        <v>235.37579999999997</v>
      </c>
      <c r="E30" s="14">
        <f>'Model inputs'!E95-'Model inputs'!E257-'Model inputs'!E268-'Model inputs'!E249</f>
        <v>484.87414800000005</v>
      </c>
      <c r="F30" s="14">
        <f>'Model inputs'!F95-'Model inputs'!F257-'Model inputs'!F268-'Model inputs'!F249</f>
        <v>749.7189981600001</v>
      </c>
      <c r="G30" s="14">
        <f>'Model inputs'!G95-'Model inputs'!G257-'Model inputs'!G268-'Model inputs'!G249</f>
        <v>1031.2303379664002</v>
      </c>
      <c r="H30" s="14">
        <f>'Model inputs'!H95-'Model inputs'!H257-'Model inputs'!H268-'Model inputs'!H249</f>
        <v>1330.8319085582405</v>
      </c>
      <c r="I30" s="14">
        <f>'Model inputs'!I95-'Model inputs'!I257-'Model inputs'!I268-'Model inputs'!I249</f>
        <v>1650.0595419263373</v>
      </c>
      <c r="J30" s="14">
        <f>'Model inputs'!J95-'Model inputs'!J257-'Model inputs'!J268-'Model inputs'!J249</f>
        <v>1990.5701643502127</v>
      </c>
      <c r="K30" s="14">
        <f>'Model inputs'!K95-'Model inputs'!K257-'Model inputs'!K268-'Model inputs'!K249</f>
        <v>2354.151519386603</v>
      </c>
      <c r="L30" s="14">
        <f>'Model inputs'!L95-'Model inputs'!L257-'Model inputs'!L268-'Model inputs'!L249</f>
        <v>2742.732667988138</v>
      </c>
      <c r="M30" s="14">
        <f>'Model inputs'!M95-'Model inputs'!M257-'Model inputs'!M268-'Model inputs'!M249</f>
        <v>3158.3953279367834</v>
      </c>
      <c r="N30" s="14">
        <f>'Model inputs'!N95-'Model inputs'!N257-'Model inputs'!N268-'Model inputs'!N249</f>
        <v>3603.3861197511274</v>
      </c>
      <c r="O30" s="14">
        <f>'Model inputs'!O95-'Model inputs'!O257-'Model inputs'!O268-'Model inputs'!O249</f>
        <v>4080.129791599033</v>
      </c>
      <c r="P30" s="14">
        <f>'Model inputs'!P95-'Model inputs'!P257-'Model inputs'!P268-'Model inputs'!P249</f>
        <v>4591.243501549412</v>
      </c>
      <c r="Q30" s="14">
        <f>'Model inputs'!Q95-'Model inputs'!Q257-'Model inputs'!Q268-'Model inputs'!Q249</f>
        <v>5139.552241763374</v>
      </c>
      <c r="R30" s="14">
        <f>'Model inputs'!R95-'Model inputs'!R257-'Model inputs'!R268-'Model inputs'!R249</f>
        <v>5728.105495992652</v>
      </c>
      <c r="S30" s="14">
        <f>'Model inputs'!S95-'Model inputs'!S257-'Model inputs'!S268-'Model inputs'!S249</f>
        <v>6360.195229062509</v>
      </c>
      <c r="T30" s="14">
        <f>'Model inputs'!T95-'Model inputs'!T257-'Model inputs'!T268-'Model inputs'!T249</f>
        <v>7039.375314910146</v>
      </c>
      <c r="U30" s="14">
        <f>'Model inputs'!U95-'Model inputs'!U257-'Model inputs'!U268-'Model inputs'!U249</f>
        <v>7769.482518275141</v>
      </c>
      <c r="V30" s="14">
        <f>'Model inputs'!V95-'Model inputs'!V257-'Model inputs'!V268-'Model inputs'!V249</f>
        <v>8554.659154345893</v>
      </c>
      <c r="W30" s="14">
        <f>'Model inputs'!W95-'Model inputs'!W257-'Model inputs'!W268-'Model inputs'!W249</f>
        <v>9399.377560610126</v>
      </c>
      <c r="X30" s="14">
        <f>'Model inputs'!X95-'Model inputs'!X257-'Model inputs'!X268-'Model inputs'!X249</f>
        <v>10308.46652589717</v>
      </c>
      <c r="Y30" s="14">
        <f>'Model inputs'!Y95-'Model inputs'!Y257-'Model inputs'!Y268-'Model inputs'!Y249</f>
        <v>11287.139833198413</v>
      </c>
      <c r="Z30" s="14">
        <f>'Model inputs'!Z95-'Model inputs'!Z257-'Model inputs'!Z268-'Model inputs'!Z249</f>
        <v>12341.027085379168</v>
      </c>
      <c r="AA30" s="14">
        <f>'Model inputs'!AA95-'Model inputs'!AA257-'Model inputs'!AA268-'Model inputs'!AA249</f>
        <v>13476.206996423882</v>
      </c>
    </row>
    <row r="31">
      <c r="A31" t="inlineStr" s="23">
        <is>
          <t xml:space="preserve">Cumulative operating result · CheckoutGuard — Business plan · Conservative base growth comparison — assumptions · Main Scenario</t>
        </is>
      </c>
      <c r="B31" s="14">
        <f>'Model inputs'!AK188+'Model inputs'!B68</f>
        <v>0</v>
      </c>
      <c r="C31" s="14">
        <f>'CheckoutGuard — Forecast · Chec'!B49</f>
        <v>0</v>
      </c>
      <c r="D31" s="14">
        <f>'Model inputs'!C31+'Model inputs'!D68</f>
        <v>-6479.00916</v>
      </c>
      <c r="E31" s="14">
        <f>'Model inputs'!D31+'Model inputs'!E68</f>
        <v>-12630.6076632</v>
      </c>
      <c r="F31" s="14">
        <f>'Model inputs'!E31+'Model inputs'!F68</f>
        <v>-18447.765810204</v>
      </c>
      <c r="G31" s="14">
        <f>'Model inputs'!F31+'Model inputs'!G68</f>
        <v>-23922.82219164288</v>
      </c>
      <c r="H31" s="14">
        <f>'Model inputs'!G31+'Model inputs'!H68</f>
        <v>-29047.460509425844</v>
      </c>
      <c r="I31" s="14">
        <f>'Model inputs'!H31+'Model inputs'!I68</f>
        <v>-33812.684986851935</v>
      </c>
      <c r="J31" s="14">
        <f>'Model inputs'!I31+'Model inputs'!J68</f>
        <v>-38208.79430459068</v>
      </c>
      <c r="K31" s="14">
        <f>'Model inputs'!J31+'Model inputs'!K68</f>
        <v>-42225.35399616448</v>
      </c>
      <c r="L31" s="14">
        <f>'Model inputs'!K31+'Model inputs'!L68</f>
        <v>-45851.16723302664</v>
      </c>
      <c r="M31" s="14">
        <f>'Model inputs'!L31+'Model inputs'!M68</f>
        <v>-49074.243925620285</v>
      </c>
      <c r="N31" s="14">
        <f>'Model inputs'!M31+'Model inputs'!N68</f>
        <v>-51881.76806291535</v>
      </c>
      <c r="O31" s="14">
        <f>'Model inputs'!N31+'Model inputs'!O68</f>
        <v>-54260.063208844746</v>
      </c>
      <c r="P31" s="14">
        <f>'Model inputs'!O31+'Model inputs'!P68</f>
        <v>-56194.5560697871</v>
      </c>
      <c r="Q31" s="14">
        <f>'Model inputs'!P31+'Model inputs'!Q68</f>
        <v>-57669.738042761564</v>
      </c>
      <c r="R31" s="14">
        <f>'Model inputs'!Q31+'Model inputs'!R68</f>
        <v>-58669.1246493002</v>
      </c>
      <c r="S31" s="14">
        <f>'Model inputs'!R31+'Model inputs'!S68</f>
        <v>-59175.21275503376</v>
      </c>
      <c r="T31" s="14">
        <f>'Model inputs'!S31+'Model inputs'!T68</f>
        <v>-59169.43546985593</v>
      </c>
      <c r="U31" s="14">
        <f>'Model inputs'!T31+'Model inputs'!U68</f>
        <v>-58632.1146181071</v>
      </c>
      <c r="V31" s="14">
        <f>'Model inputs'!U31+'Model inputs'!V68</f>
        <v>-57542.41066252808</v>
      </c>
      <c r="W31" s="14">
        <f>'Model inputs'!V31+'Model inputs'!W68</f>
        <v>-55878.26995976463</v>
      </c>
      <c r="X31" s="14">
        <f>'Model inputs'!W31+'Model inputs'!X68</f>
        <v>-53616.369218939704</v>
      </c>
      <c r="Y31" s="14">
        <f>'Model inputs'!X31+'Model inputs'!Y68</f>
        <v>-50732.057028237934</v>
      </c>
      <c r="Z31" s="14">
        <f>'Model inputs'!Y31+'Model inputs'!Z68</f>
        <v>-47199.29230755053</v>
      </c>
      <c r="AA31" s="14">
        <f>'Model inputs'!Z31+'Model inputs'!AA68</f>
        <v>-42990.57953799174</v>
      </c>
    </row>
    <row r="32">
      <c r="A32" t="inlineStr" s="23">
        <is>
          <t xml:space="preserve">Cumulative operating result · CheckoutGuard — Conservative</t>
        </is>
      </c>
      <c r="B32" s="14">
        <f>'Model inputs'!AK189+'Model inputs'!B69</f>
        <v>0</v>
      </c>
      <c r="C32" s="14">
        <f>'CheckoutGuard — Forecast · Chec'!B49</f>
        <v>0</v>
      </c>
      <c r="D32" s="14">
        <f>'Model inputs'!C32+'Model inputs'!D69</f>
        <v>-6639.50458</v>
      </c>
      <c r="E32" s="14">
        <f>'Model inputs'!D32+'Model inputs'!E69</f>
        <v>-13126.538510999999</v>
      </c>
      <c r="F32" s="14">
        <f>'Model inputs'!E32+'Model inputs'!F69</f>
        <v>-19468.72532545</v>
      </c>
      <c r="G32" s="14">
        <f>'Model inputs'!F32+'Model inputs'!G69</f>
        <v>-25673.3073791775</v>
      </c>
      <c r="H32" s="14">
        <f>'Model inputs'!G32+'Model inputs'!H69</f>
        <v>-31747.164910218624</v>
      </c>
      <c r="I32" s="14">
        <f>'Model inputs'!H32+'Model inputs'!I69</f>
        <v>-37696.8341447077</v>
      </c>
      <c r="J32" s="14">
        <f>'Model inputs'!I32+'Model inputs'!J69</f>
        <v>-43528.52449747231</v>
      </c>
      <c r="K32" s="14">
        <f>'Model inputs'!J32+'Model inputs'!K69</f>
        <v>-49248.134912598696</v>
      </c>
      <c r="L32" s="14">
        <f>'Model inputs'!K32+'Model inputs'!L69</f>
        <v>-54861.269386968765</v>
      </c>
      <c r="M32" s="14">
        <f>'Model inputs'!L32+'Model inputs'!M69</f>
        <v>-60373.251717620326</v>
      </c>
      <c r="N32" s="14">
        <f>'Model inputs'!M32+'Model inputs'!N69</f>
        <v>-65789.13951173931</v>
      </c>
      <c r="O32" s="14">
        <f>'Model inputs'!N32+'Model inputs'!O69</f>
        <v>-71113.73749615235</v>
      </c>
      <c r="P32" s="14">
        <f>'Model inputs'!O32+'Model inputs'!P69</f>
        <v>-76351.61016134472</v>
      </c>
      <c r="Q32" s="14">
        <f>'Model inputs'!P32+'Model inputs'!Q69</f>
        <v>-81507.09377327749</v>
      </c>
      <c r="R32" s="14">
        <f>'Model inputs'!Q32+'Model inputs'!R69</f>
        <v>-86584.30778461361</v>
      </c>
      <c r="S32" s="14">
        <f>'Model inputs'!R32+'Model inputs'!S69</f>
        <v>-91587.16567538293</v>
      </c>
      <c r="T32" s="14">
        <f>'Model inputs'!S32+'Model inputs'!T69</f>
        <v>-96519.38525161378</v>
      </c>
      <c r="U32" s="14">
        <f>'Model inputs'!T32+'Model inputs'!U69</f>
        <v>-101384.49842903309</v>
      </c>
      <c r="V32" s="14">
        <f>'Model inputs'!U32+'Model inputs'!V69</f>
        <v>-106185.86052758143</v>
      </c>
      <c r="W32" s="14">
        <f>'Model inputs'!V32+'Model inputs'!W69</f>
        <v>-110926.65910120236</v>
      </c>
      <c r="X32" s="14">
        <f>'Model inputs'!W32+'Model inputs'!X69</f>
        <v>-115609.92232614223</v>
      </c>
      <c r="Y32" s="14">
        <f>'Model inputs'!X32+'Model inputs'!Y69</f>
        <v>-120238.52696983512</v>
      </c>
      <c r="Z32" s="14">
        <f>'Model inputs'!Y32+'Model inputs'!Z69</f>
        <v>-124815.20596134337</v>
      </c>
      <c r="AA32" s="14">
        <f>'Model inputs'!Z32+'Model inputs'!AA69</f>
        <v>-129342.5555832762</v>
      </c>
    </row>
    <row r="33">
      <c r="A33" t="inlineStr" s="23">
        <is>
          <t xml:space="preserve">Cumulative operating result · CheckoutGuard — Growth</t>
        </is>
      </c>
      <c r="B33" s="14">
        <f>'Model inputs'!AK190+'Model inputs'!B70</f>
        <v>0</v>
      </c>
      <c r="C33" s="14">
        <f>'CheckoutGuard — Forecast · Chec'!B49</f>
        <v>0</v>
      </c>
      <c r="D33" s="14">
        <f>'Model inputs'!C33+'Model inputs'!D70</f>
        <v>-6236.47692</v>
      </c>
      <c r="E33" s="14">
        <f>'Model inputs'!D33+'Model inputs'!E70</f>
        <v>-11875.6193752</v>
      </c>
      <c r="F33" s="14">
        <f>'Model inputs'!E33+'Model inputs'!F70</f>
        <v>-16880.685660784</v>
      </c>
      <c r="G33" s="14">
        <f>'Model inputs'!F33+'Model inputs'!G70</f>
        <v>-21211.77383450336</v>
      </c>
      <c r="H33" s="14">
        <f>'Model inputs'!G33+'Model inputs'!H70</f>
        <v>-24825.573315703135</v>
      </c>
      <c r="I33" s="14">
        <f>'Model inputs'!H33+'Model inputs'!I70</f>
        <v>-27675.096523910102</v>
      </c>
      <c r="J33" s="14">
        <f>'Model inputs'!I33+'Model inputs'!J70</f>
        <v>-29709.388961914614</v>
      </c>
      <c r="K33" s="14">
        <f>'Model inputs'!J33+'Model inputs'!K70</f>
        <v>-30873.21602063765</v>
      </c>
      <c r="L33" s="14">
        <f>'Model inputs'!K33+'Model inputs'!L70</f>
        <v>-31106.72464522313</v>
      </c>
      <c r="M33" s="14">
        <f>'Model inputs'!L33+'Model inputs'!M70</f>
        <v>-30345.07785291676</v>
      </c>
      <c r="N33" s="14">
        <f>'Model inputs'!M33+'Model inputs'!N70</f>
        <v>-28518.059932504362</v>
      </c>
      <c r="O33" s="14">
        <f>'Model inputs'!N33+'Model inputs'!O70</f>
        <v>-25549.64998143189</v>
      </c>
      <c r="P33" s="14">
        <f>'Model inputs'!O33+'Model inputs'!P70</f>
        <v>-21357.56124918707</v>
      </c>
      <c r="Q33" s="14">
        <f>'Model inputs'!P33+'Model inputs'!Q70</f>
        <v>-15852.743552977856</v>
      </c>
      <c r="R33" s="14">
        <f>'Model inputs'!Q33+'Model inputs'!R70</f>
        <v>-8938.845812994787</v>
      </c>
      <c r="S33" s="14">
        <f>'Model inputs'!R33+'Model inputs'!S70</f>
        <v>-511.6355182974967</v>
      </c>
      <c r="T33" s="14">
        <f>'Model inputs'!S33+'Model inputs'!T70</f>
        <v>9541.628320780843</v>
      </c>
      <c r="U33" s="14">
        <f>'Model inputs'!T33+'Model inputs'!U70</f>
        <v>21342.872453374606</v>
      </c>
      <c r="V33" s="14">
        <f>'Model inputs'!U33+'Model inputs'!V70</f>
        <v>35023.94091923725</v>
      </c>
      <c r="W33" s="14">
        <f>'Model inputs'!V33+'Model inputs'!W70</f>
        <v>50727.385168977045</v>
      </c>
      <c r="X33" s="14">
        <f>'Model inputs'!W33+'Model inputs'!X70</f>
        <v>68607.31745917202</v>
      </c>
      <c r="Y33" s="14">
        <f>'Model inputs'!X33+'Model inputs'!Y70</f>
        <v>88830.33258304905</v>
      </c>
      <c r="Z33" s="14">
        <f>'Model inputs'!Y33+'Model inputs'!Z70</f>
        <v>111576.50340229338</v>
      </c>
      <c r="AA33" s="14">
        <f>'Model inputs'!Z33+'Model inputs'!AA70</f>
        <v>137040.45608282526</v>
      </c>
    </row>
    <row r="34">
      <c r="A34" t="inlineStr" s="23">
        <is>
          <t xml:space="preserve">Estimated cost per completed run · CheckoutGuard — Business plan · Pricing contribution by subscription — assumptions</t>
        </is>
      </c>
      <c r="AC34" s="10">
        <f>'Model inputs'!AC108+'Model inputs'!AC110+'Model inputs'!AC112+'Model inputs'!AC113+'Model inputs'!AC126+'Model inputs'!AC124</f>
        <v>0.0190856</v>
      </c>
    </row>
    <row r="35">
      <c r="A35" t="inlineStr" s="23">
        <is>
          <t xml:space="preserve">Estimated cost per completed run · CheckoutGuard — Forecast · CheckoutGuard monthly forecast — assumptions</t>
        </is>
      </c>
      <c r="AB35" s="10">
        <f>'Model inputs'!AC108+'Model inputs'!AC110+'Model inputs'!AC112+'Model inputs'!AC113+'Model inputs'!AC126+'Model inputs'!AC124</f>
        <v>0.0190856</v>
      </c>
    </row>
    <row r="36">
      <c r="A36" t="inlineStr" s="23">
        <is>
          <t xml:space="preserve">Fixed monthly cost · Main Scenario</t>
        </is>
      </c>
      <c r="AB36" s="14">
        <f>'Model inputs'!AC114+'Model inputs'!AC115+'Model inputs'!AC116+'Model inputs'!AC118+'Model inputs'!AC117+'Model inputs'!AC123</f>
        <v>6800</v>
      </c>
    </row>
    <row r="37">
      <c r="A37" t="inlineStr" s="23">
        <is>
          <t xml:space="preserve">Fixed monthly cost · CheckoutGuard — Conservative</t>
        </is>
      </c>
      <c r="AB37" s="14">
        <f>'Model inputs'!AB192+'Model inputs'!AB195+'Model inputs'!AB198+'Model inputs'!AB236+'Model inputs'!AB201+'Model inputs'!AB259</f>
        <v>6800</v>
      </c>
    </row>
    <row r="38">
      <c r="A38" t="inlineStr" s="23">
        <is>
          <t xml:space="preserve">Fixed monthly cost · CheckoutGuard — Growth</t>
        </is>
      </c>
      <c r="AB38" s="14">
        <f>'Model inputs'!AB193+'Model inputs'!AB196+'Model inputs'!AB199+'Model inputs'!AB237+'Model inputs'!AB202+'Model inputs'!AB260</f>
        <v>6800</v>
      </c>
    </row>
    <row r="39">
      <c r="A39" t="inlineStr" s="23">
        <is>
          <t xml:space="preserve">Included runs</t>
        </is>
      </c>
      <c r="AC39" s="6">
        <v>0</v>
      </c>
    </row>
    <row r="40" outlineLevel="1">
      <c r="A40" t="inlineStr" s="24">
        <is>
          <t xml:space="preserve">Included runs &gt; Agency</t>
        </is>
      </c>
      <c r="AC40" s="9">
        <f>'CheckoutGuard — Business pl (2)'!C5</f>
        <v>2000</v>
      </c>
    </row>
    <row r="41" outlineLevel="1">
      <c r="A41" t="inlineStr" s="24">
        <is>
          <t xml:space="preserve">Included runs &gt; Developer</t>
        </is>
      </c>
      <c r="AC41" s="9">
        <f>'CheckoutGuard — Business pl (2)'!C6</f>
        <v>100</v>
      </c>
    </row>
    <row r="42" outlineLevel="1">
      <c r="A42" t="inlineStr" s="24">
        <is>
          <t xml:space="preserve">Included runs &gt; Team</t>
        </is>
      </c>
      <c r="AC42" s="9">
        <f>'CheckoutGuard — Business pl (2)'!C7</f>
        <v>500</v>
      </c>
    </row>
    <row r="43">
      <c r="A43" t="inlineStr" s="23">
        <is>
          <t xml:space="preserve">Included runs</t>
        </is>
      </c>
      <c r="AB43" s="6">
        <v>0</v>
      </c>
    </row>
    <row r="44" outlineLevel="1">
      <c r="A44" t="inlineStr" s="24">
        <is>
          <t xml:space="preserve">Included runs &gt; Agency</t>
        </is>
      </c>
      <c r="AB44" s="9">
        <f>'CheckoutGuard — Business pl (2)'!C5</f>
        <v>2000</v>
      </c>
    </row>
    <row r="45" outlineLevel="1">
      <c r="A45" t="inlineStr" s="24">
        <is>
          <t xml:space="preserve">Included runs &gt; Developer</t>
        </is>
      </c>
      <c r="AB45" s="9">
        <f>'CheckoutGuard — Business pl (2)'!C6</f>
        <v>100</v>
      </c>
    </row>
    <row r="46" outlineLevel="1">
      <c r="A46" t="inlineStr" s="24">
        <is>
          <t xml:space="preserve">Included runs &gt; Team</t>
        </is>
      </c>
      <c r="AB46" s="9">
        <f>'CheckoutGuard — Business pl (2)'!C7</f>
        <v>500</v>
      </c>
    </row>
    <row r="47">
      <c r="A47" t="inlineStr" s="23">
        <is>
          <t xml:space="preserve">Lost subscriptions</t>
        </is>
      </c>
      <c r="B47" s="6">
        <f>SUM('Model inputs'!B48,'Model inputs'!B49,'Model inputs'!B50)</f>
        <v>0</v>
      </c>
      <c r="C47" s="6">
        <f>SUM('Model inputs'!C48,'Model inputs'!C49,'Model inputs'!C50)</f>
        <v>0</v>
      </c>
      <c r="D47" s="6">
        <f>SUM('Model inputs'!D48,'Model inputs'!D49,'Model inputs'!D50)</f>
        <v>0</v>
      </c>
      <c r="E47" s="6">
        <f>SUM('Model inputs'!E48,'Model inputs'!E49,'Model inputs'!E50)</f>
        <v>0.135</v>
      </c>
      <c r="F47" s="6">
        <f>SUM('Model inputs'!F48,'Model inputs'!F49,'Model inputs'!F50)</f>
        <v>0.2727</v>
      </c>
      <c r="G47" s="6">
        <f>SUM('Model inputs'!G48,'Model inputs'!G49,'Model inputs'!G50)</f>
        <v>0.41335649999999996</v>
      </c>
      <c r="H47" s="6">
        <f>SUM('Model inputs'!H48,'Model inputs'!H49,'Model inputs'!H50)</f>
        <v>0.5572351799999999</v>
      </c>
      <c r="I47" s="6">
        <f>SUM('Model inputs'!I48,'Model inputs'!I49,'Model inputs'!I50)</f>
        <v>0.7046114683500001</v>
      </c>
      <c r="J47" s="6">
        <f>SUM('Model inputs'!J48,'Model inputs'!J49,'Model inputs'!J50)</f>
        <v>0.8557711352370001</v>
      </c>
      <c r="K47" s="6">
        <f>SUM('Model inputs'!K48,'Model inputs'!K49,'Model inputs'!K50)</f>
        <v>1.0110109126642652</v>
      </c>
      <c r="L47" s="6">
        <f>SUM('Model inputs'!L48,'Model inputs'!L49,'Model inputs'!L50)</f>
        <v>1.1706391423429312</v>
      </c>
      <c r="M47" s="6">
        <f>SUM('Model inputs'!M48,'Model inputs'!M49,'Model inputs'!M50)</f>
        <v>1.3349764529841668</v>
      </c>
      <c r="N47" s="6">
        <f>SUM('Model inputs'!N48,'Model inputs'!N49,'Model inputs'!N50)</f>
        <v>1.5043564685517414</v>
      </c>
      <c r="O47" s="6">
        <f>SUM('Model inputs'!O48,'Model inputs'!O49,'Model inputs'!O50)</f>
        <v>1.6791265491101441</v>
      </c>
      <c r="P47" s="6">
        <f>SUM('Model inputs'!P48,'Model inputs'!P49,'Model inputs'!P50)</f>
        <v>1.8596485659825421</v>
      </c>
      <c r="Q47" s="6">
        <f>SUM('Model inputs'!Q48,'Model inputs'!Q49,'Model inputs'!Q50)</f>
        <v>2.0462997130160536</v>
      </c>
      <c r="R47" s="6">
        <f>SUM('Model inputs'!R48,'Model inputs'!R49,'Model inputs'!R50)</f>
        <v>2.2394733558392086</v>
      </c>
      <c r="S47" s="6">
        <f>SUM('Model inputs'!S48,'Model inputs'!S49,'Model inputs'!S50)</f>
        <v>2.4395799210883515</v>
      </c>
      <c r="T47" s="6">
        <f>SUM('Model inputs'!T48,'Model inputs'!T49,'Model inputs'!T50)</f>
        <v>2.6470478276762357</v>
      </c>
      <c r="U47" s="6">
        <f>SUM('Model inputs'!U48,'Model inputs'!U49,'Model inputs'!U50)</f>
        <v>2.8623244622775106</v>
      </c>
      <c r="V47" s="6">
        <f>SUM('Model inputs'!V48,'Model inputs'!V49,'Model inputs'!V50)</f>
        <v>3.085877201312325</v>
      </c>
      <c r="W47" s="6">
        <f>SUM('Model inputs'!W48,'Model inputs'!W49,'Model inputs'!W50)</f>
        <v>3.3181944818212514</v>
      </c>
      <c r="X47" s="6">
        <f>SUM('Model inputs'!X48,'Model inputs'!X49,'Model inputs'!X50)</f>
        <v>3.559786923742325</v>
      </c>
      <c r="Y47" s="6">
        <f>SUM('Model inputs'!Y48,'Model inputs'!Y49,'Model inputs'!Y50)</f>
        <v>3.811188506224553</v>
      </c>
      <c r="Z47" s="6">
        <f>SUM('Model inputs'!Z48,'Model inputs'!Z49,'Model inputs'!Z50)</f>
        <v>4.072957800742039</v>
      </c>
      <c r="AA47" s="6">
        <f>SUM('Model inputs'!AA48,'Model inputs'!AA49,'Model inputs'!AA50)</f>
        <v>4.3456792639092106</v>
      </c>
    </row>
    <row r="48" outlineLevel="1">
      <c r="A48" t="inlineStr" s="24">
        <is>
          <t xml:space="preserve">Lost subscriptions &gt; Agency</t>
        </is>
      </c>
      <c r="B48" s="9">
        <f>'Model inputs'!AK173*'Model inputs'!AB51</f>
        <v>0</v>
      </c>
      <c r="C48" s="9">
        <f>'Model inputs'!B7*'Model inputs'!AB51</f>
        <v>0</v>
      </c>
      <c r="D48" s="9">
        <f>'Model inputs'!C7*'Model inputs'!AB51</f>
        <v>0</v>
      </c>
      <c r="E48" s="9">
        <f>'Model inputs'!D7*'Model inputs'!AB51</f>
        <v>0.015</v>
      </c>
      <c r="F48" s="9">
        <f>'Model inputs'!E7*'Model inputs'!AB51</f>
        <v>0.0303</v>
      </c>
      <c r="G48" s="9">
        <f>'Model inputs'!F7*'Model inputs'!AB51</f>
        <v>0.0459285</v>
      </c>
      <c r="H48" s="9">
        <f>'Model inputs'!G7*'Model inputs'!AB51</f>
        <v>0.061915019999999994</v>
      </c>
      <c r="I48" s="9">
        <f>'Model inputs'!H7*'Model inputs'!AB51</f>
        <v>0.07829016315000001</v>
      </c>
      <c r="J48" s="9">
        <f>'Model inputs'!I7*'Model inputs'!AB51</f>
        <v>0.09508568169300001</v>
      </c>
      <c r="K48" s="9">
        <f>'Model inputs'!J7*'Model inputs'!AB51</f>
        <v>0.11233454585158503</v>
      </c>
      <c r="L48" s="9">
        <f>'Model inputs'!K7*'Model inputs'!AB51</f>
        <v>0.13007101581588124</v>
      </c>
      <c r="M48" s="9">
        <f>'Model inputs'!L7*'Model inputs'!AB51</f>
        <v>0.14833071699824077</v>
      </c>
      <c r="N48" s="9">
        <f>'Model inputs'!M7*'Model inputs'!AB51</f>
        <v>0.16715071872797127</v>
      </c>
      <c r="O48" s="9">
        <f>'Model inputs'!N7*'Model inputs'!AB51</f>
        <v>0.18656961656779378</v>
      </c>
      <c r="P48" s="9">
        <f>'Model inputs'!O7*'Model inputs'!AB51</f>
        <v>0.20662761844250468</v>
      </c>
      <c r="Q48" s="9">
        <f>'Model inputs'!P7*'Model inputs'!AB51</f>
        <v>0.2273666347795615</v>
      </c>
      <c r="R48" s="9">
        <f>'Model inputs'!Q7*'Model inputs'!AB51</f>
        <v>0.2488303728710232</v>
      </c>
      <c r="S48" s="9">
        <f>'Model inputs'!R7*'Model inputs'!AB51</f>
        <v>0.27106443567648353</v>
      </c>
      <c r="T48" s="9">
        <f>'Model inputs'!S7*'Model inputs'!AB51</f>
        <v>0.29411642529735954</v>
      </c>
      <c r="U48" s="9">
        <f>'Model inputs'!T7*'Model inputs'!AB51</f>
        <v>0.31803605136416785</v>
      </c>
      <c r="V48" s="9">
        <f>'Model inputs'!U7*'Model inputs'!AB51</f>
        <v>0.34287524459025837</v>
      </c>
      <c r="W48" s="9">
        <f>'Model inputs'!V7*'Model inputs'!AB51</f>
        <v>0.36868827575791685</v>
      </c>
      <c r="X48" s="9">
        <f>'Model inputs'!W7*'Model inputs'!AB51</f>
        <v>0.39553188041581394</v>
      </c>
      <c r="Y48" s="9">
        <f>'Model inputs'!X7*'Model inputs'!AB51</f>
        <v>0.4234653895805059</v>
      </c>
      <c r="Z48" s="9">
        <f>'Model inputs'!Y7*'Model inputs'!AB51</f>
        <v>0.4525508667491154</v>
      </c>
      <c r="AA48" s="9">
        <f>'Model inputs'!Z7*'Model inputs'!AB51</f>
        <v>0.4828532515454678</v>
      </c>
    </row>
    <row r="49" outlineLevel="1">
      <c r="A49" t="inlineStr" s="24">
        <is>
          <t xml:space="preserve">Lost subscriptions &gt; Developer</t>
        </is>
      </c>
      <c r="B49" s="9">
        <f>'Model inputs'!AK174*'Model inputs'!AB51</f>
        <v>0</v>
      </c>
      <c r="C49" s="9">
        <f>'Model inputs'!B8*'Model inputs'!AB51</f>
        <v>0</v>
      </c>
      <c r="D49" s="9">
        <f>'Model inputs'!C8*'Model inputs'!AB51</f>
        <v>0</v>
      </c>
      <c r="E49" s="9">
        <f>'Model inputs'!D8*'Model inputs'!AB51</f>
        <v>0.06</v>
      </c>
      <c r="F49" s="9">
        <f>'Model inputs'!E8*'Model inputs'!AB51</f>
        <v>0.1212</v>
      </c>
      <c r="G49" s="9">
        <f>'Model inputs'!F8*'Model inputs'!AB51</f>
        <v>0.183714</v>
      </c>
      <c r="H49" s="9">
        <f>'Model inputs'!G8*'Model inputs'!AB51</f>
        <v>0.24766007999999998</v>
      </c>
      <c r="I49" s="9">
        <f>'Model inputs'!H8*'Model inputs'!AB51</f>
        <v>0.31316065260000003</v>
      </c>
      <c r="J49" s="9">
        <f>'Model inputs'!I8*'Model inputs'!AB51</f>
        <v>0.38034272677200004</v>
      </c>
      <c r="K49" s="9">
        <f>'Model inputs'!J8*'Model inputs'!AB51</f>
        <v>0.44933818340634013</v>
      </c>
      <c r="L49" s="9">
        <f>'Model inputs'!K8*'Model inputs'!AB51</f>
        <v>0.5202840632635249</v>
      </c>
      <c r="M49" s="9">
        <f>'Model inputs'!L8*'Model inputs'!AB51</f>
        <v>0.5933228679929631</v>
      </c>
      <c r="N49" s="9">
        <f>'Model inputs'!M8*'Model inputs'!AB51</f>
        <v>0.6686028749118851</v>
      </c>
      <c r="O49" s="9">
        <f>'Model inputs'!N8*'Model inputs'!AB51</f>
        <v>0.7462784662711751</v>
      </c>
      <c r="P49" s="9">
        <f>'Model inputs'!O8*'Model inputs'!AB51</f>
        <v>0.8265104737700187</v>
      </c>
      <c r="Q49" s="9">
        <f>'Model inputs'!P8*'Model inputs'!AB51</f>
        <v>0.909466539118246</v>
      </c>
      <c r="R49" s="9">
        <f>'Model inputs'!Q8*'Model inputs'!AB51</f>
        <v>0.9953214914840928</v>
      </c>
      <c r="S49" s="9">
        <f>'Model inputs'!R8*'Model inputs'!AB51</f>
        <v>1.0842577427059341</v>
      </c>
      <c r="T49" s="9">
        <f>'Model inputs'!S8*'Model inputs'!AB51</f>
        <v>1.1764657011894382</v>
      </c>
      <c r="U49" s="9">
        <f>'Model inputs'!T8*'Model inputs'!AB51</f>
        <v>1.2721442054566714</v>
      </c>
      <c r="V49" s="9">
        <f>'Model inputs'!U8*'Model inputs'!AB51</f>
        <v>1.3715009783610335</v>
      </c>
      <c r="W49" s="9">
        <f>'Model inputs'!V8*'Model inputs'!AB51</f>
        <v>1.4747531030316674</v>
      </c>
      <c r="X49" s="9">
        <f>'Model inputs'!W8*'Model inputs'!AB51</f>
        <v>1.5821275216632558</v>
      </c>
      <c r="Y49" s="9">
        <f>'Model inputs'!X8*'Model inputs'!AB51</f>
        <v>1.6938615583220236</v>
      </c>
      <c r="Z49" s="9">
        <f>'Model inputs'!Y8*'Model inputs'!AB51</f>
        <v>1.8102034669964615</v>
      </c>
      <c r="AA49" s="9">
        <f>'Model inputs'!Z8*'Model inputs'!AB51</f>
        <v>1.9314130061818713</v>
      </c>
    </row>
    <row r="50" outlineLevel="1">
      <c r="A50" t="inlineStr" s="24">
        <is>
          <t xml:space="preserve">Lost subscriptions &gt; Team</t>
        </is>
      </c>
      <c r="B50" s="9">
        <f>'Model inputs'!AK175*'Model inputs'!AB51</f>
        <v>0</v>
      </c>
      <c r="C50" s="9">
        <f>'Model inputs'!B9*'Model inputs'!AB51</f>
        <v>0</v>
      </c>
      <c r="D50" s="9">
        <f>'Model inputs'!C9*'Model inputs'!AB51</f>
        <v>0</v>
      </c>
      <c r="E50" s="9">
        <f>'Model inputs'!D9*'Model inputs'!AB51</f>
        <v>0.06</v>
      </c>
      <c r="F50" s="9">
        <f>'Model inputs'!E9*'Model inputs'!AB51</f>
        <v>0.1212</v>
      </c>
      <c r="G50" s="9">
        <f>'Model inputs'!F9*'Model inputs'!AB51</f>
        <v>0.183714</v>
      </c>
      <c r="H50" s="9">
        <f>'Model inputs'!G9*'Model inputs'!AB51</f>
        <v>0.24766007999999998</v>
      </c>
      <c r="I50" s="9">
        <f>'Model inputs'!H9*'Model inputs'!AB51</f>
        <v>0.31316065260000003</v>
      </c>
      <c r="J50" s="9">
        <f>'Model inputs'!I9*'Model inputs'!AB51</f>
        <v>0.38034272677200004</v>
      </c>
      <c r="K50" s="9">
        <f>'Model inputs'!J9*'Model inputs'!AB51</f>
        <v>0.44933818340634013</v>
      </c>
      <c r="L50" s="9">
        <f>'Model inputs'!K9*'Model inputs'!AB51</f>
        <v>0.5202840632635249</v>
      </c>
      <c r="M50" s="9">
        <f>'Model inputs'!L9*'Model inputs'!AB51</f>
        <v>0.5933228679929631</v>
      </c>
      <c r="N50" s="9">
        <f>'Model inputs'!M9*'Model inputs'!AB51</f>
        <v>0.6686028749118851</v>
      </c>
      <c r="O50" s="9">
        <f>'Model inputs'!N9*'Model inputs'!AB51</f>
        <v>0.7462784662711751</v>
      </c>
      <c r="P50" s="9">
        <f>'Model inputs'!O9*'Model inputs'!AB51</f>
        <v>0.8265104737700187</v>
      </c>
      <c r="Q50" s="9">
        <f>'Model inputs'!P9*'Model inputs'!AB51</f>
        <v>0.909466539118246</v>
      </c>
      <c r="R50" s="9">
        <f>'Model inputs'!Q9*'Model inputs'!AB51</f>
        <v>0.9953214914840928</v>
      </c>
      <c r="S50" s="9">
        <f>'Model inputs'!R9*'Model inputs'!AB51</f>
        <v>1.0842577427059341</v>
      </c>
      <c r="T50" s="9">
        <f>'Model inputs'!S9*'Model inputs'!AB51</f>
        <v>1.1764657011894382</v>
      </c>
      <c r="U50" s="9">
        <f>'Model inputs'!T9*'Model inputs'!AB51</f>
        <v>1.2721442054566714</v>
      </c>
      <c r="V50" s="9">
        <f>'Model inputs'!U9*'Model inputs'!AB51</f>
        <v>1.3715009783610335</v>
      </c>
      <c r="W50" s="9">
        <f>'Model inputs'!V9*'Model inputs'!AB51</f>
        <v>1.4747531030316674</v>
      </c>
      <c r="X50" s="9">
        <f>'Model inputs'!W9*'Model inputs'!AB51</f>
        <v>1.5821275216632558</v>
      </c>
      <c r="Y50" s="9">
        <f>'Model inputs'!X9*'Model inputs'!AB51</f>
        <v>1.6938615583220236</v>
      </c>
      <c r="Z50" s="9">
        <f>'Model inputs'!Y9*'Model inputs'!AB51</f>
        <v>1.8102034669964615</v>
      </c>
      <c r="AA50" s="9">
        <f>'Model inputs'!Z9*'Model inputs'!AB51</f>
        <v>1.9314130061818713</v>
      </c>
    </row>
    <row r="51">
      <c r="A51" t="inlineStr" s="23">
        <is>
          <t xml:space="preserve">Monthly churn · CheckoutGuard — Forecast · CheckoutGuard monthly forecast — assumptions</t>
        </is>
      </c>
      <c r="AB51" s="18">
        <f>'CheckoutGuard — Assumptions · C'!B19</f>
        <v>0.03</v>
      </c>
    </row>
    <row r="52">
      <c r="A52" t="inlineStr" s="23">
        <is>
          <t xml:space="preserve">Monthly price</t>
        </is>
      </c>
      <c r="AC52" s="11">
        <v>0</v>
      </c>
    </row>
    <row r="53" outlineLevel="1">
      <c r="A53" t="inlineStr" s="24">
        <is>
          <t xml:space="preserve">Monthly price &gt; Agency</t>
        </is>
      </c>
      <c r="AC53" s="14">
        <f>'CheckoutGuard — Business pl (2)'!B5</f>
        <v>299</v>
      </c>
    </row>
    <row r="54" outlineLevel="1">
      <c r="A54" t="inlineStr" s="24">
        <is>
          <t xml:space="preserve">Monthly price &gt; Developer</t>
        </is>
      </c>
      <c r="AC54" s="14">
        <f>'CheckoutGuard — Business pl (2)'!B6</f>
        <v>29</v>
      </c>
    </row>
    <row r="55" outlineLevel="1">
      <c r="A55" t="inlineStr" s="24">
        <is>
          <t xml:space="preserve">Monthly price &gt; Team</t>
        </is>
      </c>
      <c r="AC55" s="14">
        <f>'CheckoutGuard — Business pl (2)'!B7</f>
        <v>99</v>
      </c>
    </row>
    <row r="56">
      <c r="A56" t="inlineStr" s="23">
        <is>
          <t xml:space="preserve">Monthly price</t>
        </is>
      </c>
      <c r="AB56" s="11">
        <v>0</v>
      </c>
    </row>
    <row r="57" outlineLevel="1">
      <c r="A57" t="inlineStr" s="24">
        <is>
          <t xml:space="preserve">Monthly price &gt; Agency</t>
        </is>
      </c>
      <c r="AB57" s="14">
        <f>'CheckoutGuard — Business pl (2)'!B5</f>
        <v>299</v>
      </c>
    </row>
    <row r="58" outlineLevel="1">
      <c r="A58" t="inlineStr" s="24">
        <is>
          <t xml:space="preserve">Monthly price &gt; Developer</t>
        </is>
      </c>
      <c r="AB58" s="14">
        <f>'CheckoutGuard — Business pl (2)'!B6</f>
        <v>29</v>
      </c>
    </row>
    <row r="59" outlineLevel="1">
      <c r="A59" t="inlineStr" s="24">
        <is>
          <t xml:space="preserve">Monthly price &gt; Team</t>
        </is>
      </c>
      <c r="AB59" s="14">
        <f>'CheckoutGuard — Business pl (2)'!B7</f>
        <v>99</v>
      </c>
    </row>
    <row r="60">
      <c r="A60" t="inlineStr" s="23">
        <is>
          <t xml:space="preserve">Monthly qualified prospects</t>
        </is>
      </c>
      <c r="AB60" s="6">
        <v>0</v>
      </c>
    </row>
    <row r="61" outlineLevel="1">
      <c r="A61" t="inlineStr" s="24">
        <is>
          <t xml:space="preserve">Monthly qualified prospects &gt; Agency</t>
        </is>
      </c>
      <c r="AB61" s="9">
        <f>'CheckoutGuard — Assumptions · W'!F5</f>
        <v>5</v>
      </c>
    </row>
    <row r="62" outlineLevel="1">
      <c r="A62" t="inlineStr" s="24">
        <is>
          <t xml:space="preserve">Monthly qualified prospects &gt; Developer</t>
        </is>
      </c>
      <c r="AB62" s="9">
        <f>'CheckoutGuard — Assumptions · W'!F6</f>
        <v>40</v>
      </c>
    </row>
    <row r="63" outlineLevel="1">
      <c r="A63" t="inlineStr" s="24">
        <is>
          <t xml:space="preserve">Monthly qualified prospects &gt; Team</t>
        </is>
      </c>
      <c r="AB63" s="9">
        <f>'CheckoutGuard — Assumptions · W'!F7</f>
        <v>20</v>
      </c>
    </row>
    <row r="64">
      <c r="A64" t="inlineStr" s="23">
        <is>
          <t xml:space="preserve">New paid subscriptions</t>
        </is>
      </c>
      <c r="B64" s="6">
        <f>SUM('Model inputs'!B65,'Model inputs'!B66,'Model inputs'!B67)</f>
        <v>0</v>
      </c>
      <c r="C64" s="6">
        <f>SUM('Model inputs'!C65,'Model inputs'!C66,'Model inputs'!C67)</f>
        <v>0</v>
      </c>
      <c r="D64" s="6">
        <f>SUM('Model inputs'!D65,'Model inputs'!D66,'Model inputs'!D67)</f>
        <v>4.5</v>
      </c>
      <c r="E64" s="6">
        <f>SUM('Model inputs'!E65,'Model inputs'!E66,'Model inputs'!E67)</f>
        <v>4.725</v>
      </c>
      <c r="F64" s="6">
        <f>SUM('Model inputs'!F65,'Model inputs'!F66,'Model inputs'!F67)</f>
        <v>4.96125</v>
      </c>
      <c r="G64" s="6">
        <f>SUM('Model inputs'!G65,'Model inputs'!G66,'Model inputs'!G67)</f>
        <v>5.209312500000001</v>
      </c>
      <c r="H64" s="6">
        <f>SUM('Model inputs'!H65,'Model inputs'!H66,'Model inputs'!H67)</f>
        <v>5.469778125000002</v>
      </c>
      <c r="I64" s="6">
        <f>SUM('Model inputs'!I65,'Model inputs'!I66,'Model inputs'!I67)</f>
        <v>5.743267031250001</v>
      </c>
      <c r="J64" s="6">
        <f>SUM('Model inputs'!J65,'Model inputs'!J66,'Model inputs'!J67)</f>
        <v>6.030430382812502</v>
      </c>
      <c r="K64" s="6">
        <f>SUM('Model inputs'!K65,'Model inputs'!K66,'Model inputs'!K67)</f>
        <v>6.331951901953127</v>
      </c>
      <c r="L64" s="6">
        <f>SUM('Model inputs'!L65,'Model inputs'!L66,'Model inputs'!L67)</f>
        <v>6.648549497050785</v>
      </c>
      <c r="M64" s="6">
        <f>SUM('Model inputs'!M65,'Model inputs'!M66,'Model inputs'!M67)</f>
        <v>6.980976971903324</v>
      </c>
      <c r="N64" s="6">
        <f>SUM('Model inputs'!N65,'Model inputs'!N66,'Model inputs'!N67)</f>
        <v>7.33002582049849</v>
      </c>
      <c r="O64" s="6">
        <f>SUM('Model inputs'!O65,'Model inputs'!O66,'Model inputs'!O67)</f>
        <v>7.696527111523415</v>
      </c>
      <c r="P64" s="6">
        <f>SUM('Model inputs'!P65,'Model inputs'!P66,'Model inputs'!P67)</f>
        <v>8.081353467099586</v>
      </c>
      <c r="Q64" s="6">
        <f>SUM('Model inputs'!Q65,'Model inputs'!Q66,'Model inputs'!Q67)</f>
        <v>8.485421140454566</v>
      </c>
      <c r="R64" s="6">
        <f>SUM('Model inputs'!R65,'Model inputs'!R66,'Model inputs'!R67)</f>
        <v>8.909692197477295</v>
      </c>
      <c r="S64" s="6">
        <f>SUM('Model inputs'!S65,'Model inputs'!S66,'Model inputs'!S67)</f>
        <v>9.35517680735116</v>
      </c>
      <c r="T64" s="6">
        <f>SUM('Model inputs'!T65,'Model inputs'!T66,'Model inputs'!T67)</f>
        <v>9.822935647718715</v>
      </c>
      <c r="U64" s="6">
        <f>SUM('Model inputs'!U65,'Model inputs'!U66,'Model inputs'!U67)</f>
        <v>10.314082430104653</v>
      </c>
      <c r="V64" s="6">
        <f>SUM('Model inputs'!V65,'Model inputs'!V66,'Model inputs'!V67)</f>
        <v>10.829786551609885</v>
      </c>
      <c r="W64" s="6">
        <f>SUM('Model inputs'!W65,'Model inputs'!W66,'Model inputs'!W67)</f>
        <v>11.371275879190382</v>
      </c>
      <c r="X64" s="6">
        <f>SUM('Model inputs'!X65,'Model inputs'!X66,'Model inputs'!X67)</f>
        <v>11.9398396731499</v>
      </c>
      <c r="Y64" s="6">
        <f>SUM('Model inputs'!Y65,'Model inputs'!Y66,'Model inputs'!Y67)</f>
        <v>12.536831656807397</v>
      </c>
      <c r="Z64" s="6">
        <f>SUM('Model inputs'!Z65,'Model inputs'!Z66,'Model inputs'!Z67)</f>
        <v>13.163673239647768</v>
      </c>
      <c r="AA64" s="6">
        <f>SUM('Model inputs'!AA65,'Model inputs'!AA66,'Model inputs'!AA67)</f>
        <v>13.821856901630158</v>
      </c>
    </row>
    <row r="65" outlineLevel="1">
      <c r="A65" t="inlineStr" s="24">
        <is>
          <t xml:space="preserve">New paid subscriptions &gt; Agency</t>
        </is>
      </c>
      <c r="B65" s="9">
        <f>'Model inputs'!B78*'Model inputs'!AB72</f>
        <v>0</v>
      </c>
      <c r="C65" s="9">
        <f>'Model inputs'!C78*'Model inputs'!AB72</f>
        <v>0</v>
      </c>
      <c r="D65" s="9">
        <f>'Model inputs'!D78*'Model inputs'!AB72</f>
        <v>0.5</v>
      </c>
      <c r="E65" s="9">
        <f>'Model inputs'!E78*'Model inputs'!AB72</f>
        <v>0.525</v>
      </c>
      <c r="F65" s="9">
        <f>'Model inputs'!F78*'Model inputs'!AB72</f>
        <v>0.55125</v>
      </c>
      <c r="G65" s="9">
        <f>'Model inputs'!G78*'Model inputs'!AB72</f>
        <v>0.5788125000000001</v>
      </c>
      <c r="H65" s="9">
        <f>'Model inputs'!H78*'Model inputs'!AB72</f>
        <v>0.6077531250000002</v>
      </c>
      <c r="I65" s="9">
        <f>'Model inputs'!I78*'Model inputs'!AB72</f>
        <v>0.6381407812500002</v>
      </c>
      <c r="J65" s="9">
        <f>'Model inputs'!J78*'Model inputs'!AB72</f>
        <v>0.6700478203125002</v>
      </c>
      <c r="K65" s="9">
        <f>'Model inputs'!K78*'Model inputs'!AB72</f>
        <v>0.7035502113281252</v>
      </c>
      <c r="L65" s="9">
        <f>'Model inputs'!L78*'Model inputs'!AB72</f>
        <v>0.7387277218945316</v>
      </c>
      <c r="M65" s="9">
        <f>'Model inputs'!M78*'Model inputs'!AB72</f>
        <v>0.7756641079892582</v>
      </c>
      <c r="N65" s="9">
        <f>'Model inputs'!N78*'Model inputs'!AB72</f>
        <v>0.8144473133887211</v>
      </c>
      <c r="O65" s="9">
        <f>'Model inputs'!O78*'Model inputs'!AB72</f>
        <v>0.8551696790581572</v>
      </c>
      <c r="P65" s="9">
        <f>'Model inputs'!P78*'Model inputs'!AB72</f>
        <v>0.897928163011065</v>
      </c>
      <c r="Q65" s="9">
        <f>'Model inputs'!Q78*'Model inputs'!AB72</f>
        <v>0.9428245711616183</v>
      </c>
      <c r="R65" s="9">
        <f>'Model inputs'!R78*'Model inputs'!AB72</f>
        <v>0.9899657997196993</v>
      </c>
      <c r="S65" s="9">
        <f>'Model inputs'!S78*'Model inputs'!AB72</f>
        <v>1.0394640897056844</v>
      </c>
      <c r="T65" s="9">
        <f>'Model inputs'!T78*'Model inputs'!AB72</f>
        <v>1.0914372941909685</v>
      </c>
      <c r="U65" s="9">
        <f>'Model inputs'!U78*'Model inputs'!AB72</f>
        <v>1.146009158900517</v>
      </c>
      <c r="V65" s="9">
        <f>'Model inputs'!V78*'Model inputs'!AB72</f>
        <v>1.2033096168455428</v>
      </c>
      <c r="W65" s="9">
        <f>'Model inputs'!W78*'Model inputs'!AB72</f>
        <v>1.2634750976878202</v>
      </c>
      <c r="X65" s="9">
        <f>'Model inputs'!X78*'Model inputs'!AB72</f>
        <v>1.326648852572211</v>
      </c>
      <c r="Y65" s="9">
        <f>'Model inputs'!Y78*'Model inputs'!AB72</f>
        <v>1.3929812952008218</v>
      </c>
      <c r="Z65" s="9">
        <f>'Model inputs'!Z78*'Model inputs'!AB72</f>
        <v>1.462630359960863</v>
      </c>
      <c r="AA65" s="9">
        <f>'Model inputs'!AA78*'Model inputs'!AB72</f>
        <v>1.5357618779589064</v>
      </c>
    </row>
    <row r="66" outlineLevel="1">
      <c r="A66" t="inlineStr" s="24">
        <is>
          <t xml:space="preserve">New paid subscriptions &gt; Developer</t>
        </is>
      </c>
      <c r="B66" s="9">
        <f>'Model inputs'!B79*'Model inputs'!AB73</f>
        <v>0</v>
      </c>
      <c r="C66" s="9">
        <f>'Model inputs'!C79*'Model inputs'!AB73</f>
        <v>0</v>
      </c>
      <c r="D66" s="9">
        <f>'Model inputs'!D79*'Model inputs'!AB73</f>
        <v>2</v>
      </c>
      <c r="E66" s="9">
        <f>'Model inputs'!E79*'Model inputs'!AB73</f>
        <v>2.1</v>
      </c>
      <c r="F66" s="9">
        <f>'Model inputs'!F79*'Model inputs'!AB73</f>
        <v>2.205</v>
      </c>
      <c r="G66" s="9">
        <f>'Model inputs'!G79*'Model inputs'!AB73</f>
        <v>2.3152500000000003</v>
      </c>
      <c r="H66" s="9">
        <f>'Model inputs'!H79*'Model inputs'!AB73</f>
        <v>2.431012500000001</v>
      </c>
      <c r="I66" s="9">
        <f>'Model inputs'!I79*'Model inputs'!AB73</f>
        <v>2.5525631250000007</v>
      </c>
      <c r="J66" s="9">
        <f>'Model inputs'!J79*'Model inputs'!AB73</f>
        <v>2.680191281250001</v>
      </c>
      <c r="K66" s="9">
        <f>'Model inputs'!K79*'Model inputs'!AB73</f>
        <v>2.814200845312501</v>
      </c>
      <c r="L66" s="9">
        <f>'Model inputs'!L79*'Model inputs'!AB73</f>
        <v>2.9549108875781265</v>
      </c>
      <c r="M66" s="9">
        <f>'Model inputs'!M79*'Model inputs'!AB73</f>
        <v>3.102656431957033</v>
      </c>
      <c r="N66" s="9">
        <f>'Model inputs'!N79*'Model inputs'!AB73</f>
        <v>3.2577892535548845</v>
      </c>
      <c r="O66" s="9">
        <f>'Model inputs'!O79*'Model inputs'!AB73</f>
        <v>3.420678716232629</v>
      </c>
      <c r="P66" s="9">
        <f>'Model inputs'!P79*'Model inputs'!AB73</f>
        <v>3.59171265204426</v>
      </c>
      <c r="Q66" s="9">
        <f>'Model inputs'!Q79*'Model inputs'!AB73</f>
        <v>3.7712982846464733</v>
      </c>
      <c r="R66" s="9">
        <f>'Model inputs'!R79*'Model inputs'!AB73</f>
        <v>3.9598631988787973</v>
      </c>
      <c r="S66" s="9">
        <f>'Model inputs'!S79*'Model inputs'!AB73</f>
        <v>4.1578563588227375</v>
      </c>
      <c r="T66" s="9">
        <f>'Model inputs'!T79*'Model inputs'!AB73</f>
        <v>4.365749176763874</v>
      </c>
      <c r="U66" s="9">
        <f>'Model inputs'!U79*'Model inputs'!AB73</f>
        <v>4.584036635602068</v>
      </c>
      <c r="V66" s="9">
        <f>'Model inputs'!V79*'Model inputs'!AB73</f>
        <v>4.813238467382171</v>
      </c>
      <c r="W66" s="9">
        <f>'Model inputs'!W79*'Model inputs'!AB73</f>
        <v>5.053900390751281</v>
      </c>
      <c r="X66" s="9">
        <f>'Model inputs'!X79*'Model inputs'!AB73</f>
        <v>5.306595410288844</v>
      </c>
      <c r="Y66" s="9">
        <f>'Model inputs'!Y79*'Model inputs'!AB73</f>
        <v>5.571925180803287</v>
      </c>
      <c r="Z66" s="9">
        <f>'Model inputs'!Z79*'Model inputs'!AB73</f>
        <v>5.850521439843452</v>
      </c>
      <c r="AA66" s="9">
        <f>'Model inputs'!AA79*'Model inputs'!AB73</f>
        <v>6.143047511835626</v>
      </c>
    </row>
    <row r="67" outlineLevel="1">
      <c r="A67" t="inlineStr" s="24">
        <is>
          <t xml:space="preserve">New paid subscriptions &gt; Team</t>
        </is>
      </c>
      <c r="B67" s="9">
        <f>'Model inputs'!B80*'Model inputs'!AB74</f>
        <v>0</v>
      </c>
      <c r="C67" s="9">
        <f>'Model inputs'!C80*'Model inputs'!AB74</f>
        <v>0</v>
      </c>
      <c r="D67" s="9">
        <f>'Model inputs'!D80*'Model inputs'!AB74</f>
        <v>2</v>
      </c>
      <c r="E67" s="9">
        <f>'Model inputs'!E80*'Model inputs'!AB74</f>
        <v>2.1</v>
      </c>
      <c r="F67" s="9">
        <f>'Model inputs'!F80*'Model inputs'!AB74</f>
        <v>2.205</v>
      </c>
      <c r="G67" s="9">
        <f>'Model inputs'!G80*'Model inputs'!AB74</f>
        <v>2.3152500000000003</v>
      </c>
      <c r="H67" s="9">
        <f>'Model inputs'!H80*'Model inputs'!AB74</f>
        <v>2.431012500000001</v>
      </c>
      <c r="I67" s="9">
        <f>'Model inputs'!I80*'Model inputs'!AB74</f>
        <v>2.5525631250000007</v>
      </c>
      <c r="J67" s="9">
        <f>'Model inputs'!J80*'Model inputs'!AB74</f>
        <v>2.680191281250001</v>
      </c>
      <c r="K67" s="9">
        <f>'Model inputs'!K80*'Model inputs'!AB74</f>
        <v>2.814200845312501</v>
      </c>
      <c r="L67" s="9">
        <f>'Model inputs'!L80*'Model inputs'!AB74</f>
        <v>2.9549108875781265</v>
      </c>
      <c r="M67" s="9">
        <f>'Model inputs'!M80*'Model inputs'!AB74</f>
        <v>3.102656431957033</v>
      </c>
      <c r="N67" s="9">
        <f>'Model inputs'!N80*'Model inputs'!AB74</f>
        <v>3.2577892535548845</v>
      </c>
      <c r="O67" s="9">
        <f>'Model inputs'!O80*'Model inputs'!AB74</f>
        <v>3.420678716232629</v>
      </c>
      <c r="P67" s="9">
        <f>'Model inputs'!P80*'Model inputs'!AB74</f>
        <v>3.59171265204426</v>
      </c>
      <c r="Q67" s="9">
        <f>'Model inputs'!Q80*'Model inputs'!AB74</f>
        <v>3.7712982846464733</v>
      </c>
      <c r="R67" s="9">
        <f>'Model inputs'!R80*'Model inputs'!AB74</f>
        <v>3.9598631988787973</v>
      </c>
      <c r="S67" s="9">
        <f>'Model inputs'!S80*'Model inputs'!AB74</f>
        <v>4.1578563588227375</v>
      </c>
      <c r="T67" s="9">
        <f>'Model inputs'!T80*'Model inputs'!AB74</f>
        <v>4.365749176763874</v>
      </c>
      <c r="U67" s="9">
        <f>'Model inputs'!U80*'Model inputs'!AB74</f>
        <v>4.584036635602068</v>
      </c>
      <c r="V67" s="9">
        <f>'Model inputs'!V80*'Model inputs'!AB74</f>
        <v>4.813238467382171</v>
      </c>
      <c r="W67" s="9">
        <f>'Model inputs'!W80*'Model inputs'!AB74</f>
        <v>5.053900390751281</v>
      </c>
      <c r="X67" s="9">
        <f>'Model inputs'!X80*'Model inputs'!AB74</f>
        <v>5.306595410288844</v>
      </c>
      <c r="Y67" s="9">
        <f>'Model inputs'!Y80*'Model inputs'!AB74</f>
        <v>5.571925180803287</v>
      </c>
      <c r="Z67" s="9">
        <f>'Model inputs'!Z80*'Model inputs'!AB74</f>
        <v>5.850521439843452</v>
      </c>
      <c r="AA67" s="9">
        <f>'Model inputs'!AA80*'Model inputs'!AB74</f>
        <v>6.143047511835626</v>
      </c>
    </row>
    <row r="68">
      <c r="A68" t="inlineStr" s="23">
        <is>
          <t xml:space="preserve">Operating result · CheckoutGuard — Business plan · Conservative base growth comparison — assumptions · Main Scenario</t>
        </is>
      </c>
      <c r="B68" s="14">
        <f>0</f>
        <v>0</v>
      </c>
      <c r="C68" s="14">
        <f>0</f>
        <v>0</v>
      </c>
      <c r="D68" s="14">
        <f>'Model inputs'!D19-'Model inputs'!AB36</f>
        <v>-6479.00916</v>
      </c>
      <c r="E68" s="14">
        <f>'Model inputs'!E19-'Model inputs'!AB36</f>
        <v>-6151.5985032</v>
      </c>
      <c r="F68" s="14">
        <f>'Model inputs'!F19-'Model inputs'!AB36</f>
        <v>-5817.158147004</v>
      </c>
      <c r="G68" s="14">
        <f>'Model inputs'!G19-'Model inputs'!AB36</f>
        <v>-5475.05638143888</v>
      </c>
      <c r="H68" s="14">
        <f>'Model inputs'!H19-'Model inputs'!AB36</f>
        <v>-5124.638317782963</v>
      </c>
      <c r="I68" s="14">
        <f>'Model inputs'!I19-'Model inputs'!AB36</f>
        <v>-4765.224477426087</v>
      </c>
      <c r="J68" s="14">
        <f>'Model inputs'!J19-'Model inputs'!AB36</f>
        <v>-4396.109317738747</v>
      </c>
      <c r="K68" s="14">
        <f>'Model inputs'!K19-'Model inputs'!AB36</f>
        <v>-4016.5596915737997</v>
      </c>
      <c r="L68" s="14">
        <f>'Model inputs'!L19-'Model inputs'!AB36</f>
        <v>-3625.8132368621614</v>
      </c>
      <c r="M68" s="14">
        <f>'Model inputs'!M19-'Model inputs'!AB36</f>
        <v>-3223.076692593651</v>
      </c>
      <c r="N68" s="14">
        <f>'Model inputs'!N19-'Model inputs'!AB36</f>
        <v>-2807.5241372950636</v>
      </c>
      <c r="O68" s="14">
        <f>'Model inputs'!O19-'Model inputs'!AB36</f>
        <v>-2378.2951459293945</v>
      </c>
      <c r="P68" s="14">
        <f>'Model inputs'!P19-'Model inputs'!AB36</f>
        <v>-1934.492860942355</v>
      </c>
      <c r="Q68" s="14">
        <f>'Model inputs'!Q19-'Model inputs'!AB36</f>
        <v>-1475.1819729744693</v>
      </c>
      <c r="R68" s="14">
        <f>'Model inputs'!R19-'Model inputs'!AB36</f>
        <v>-999.3866065386392</v>
      </c>
      <c r="S68" s="14">
        <f>'Model inputs'!S19-'Model inputs'!AB36</f>
        <v>-506.0881057335537</v>
      </c>
      <c r="T68" s="14">
        <f>'Model inputs'!T19-'Model inputs'!AB36</f>
        <v>5.7772851778254335</v>
      </c>
      <c r="U68" s="14">
        <f>'Model inputs'!U19-'Model inputs'!AB36</f>
        <v>537.3208517488329</v>
      </c>
      <c r="V68" s="14">
        <f>'Model inputs'!V19-'Model inputs'!AB36</f>
        <v>1089.7039555790252</v>
      </c>
      <c r="W68" s="14">
        <f>'Model inputs'!W19-'Model inputs'!AB36</f>
        <v>1664.140702763445</v>
      </c>
      <c r="X68" s="14">
        <f>'Model inputs'!X19-'Model inputs'!AB36</f>
        <v>2261.9007408249236</v>
      </c>
      <c r="Y68" s="14">
        <f>'Model inputs'!Y19-'Model inputs'!AB36</f>
        <v>2884.312190701774</v>
      </c>
      <c r="Z68" s="14">
        <f>'Model inputs'!Z19-'Model inputs'!AB36</f>
        <v>3532.7647206874008</v>
      </c>
      <c r="AA68" s="14">
        <f>'Model inputs'!AA19-'Model inputs'!AB36</f>
        <v>4208.7127695587915</v>
      </c>
    </row>
    <row r="69">
      <c r="A69" t="inlineStr" s="23">
        <is>
          <t xml:space="preserve">Operating result · CheckoutGuard — Conservative</t>
        </is>
      </c>
      <c r="B69" s="14">
        <f>0</f>
        <v>0</v>
      </c>
      <c r="C69" s="14">
        <f>0</f>
        <v>0</v>
      </c>
      <c r="D69" s="14">
        <f>'Model inputs'!D23-'Model inputs'!AB37</f>
        <v>-6639.50458</v>
      </c>
      <c r="E69" s="14">
        <f>'Model inputs'!E23-'Model inputs'!AB37</f>
        <v>-6487.033931</v>
      </c>
      <c r="F69" s="14">
        <f>'Model inputs'!F23-'Model inputs'!AB37</f>
        <v>-6342.18681445</v>
      </c>
      <c r="G69" s="14">
        <f>'Model inputs'!G23-'Model inputs'!AB37</f>
        <v>-6204.5820537275</v>
      </c>
      <c r="H69" s="14">
        <f>'Model inputs'!H23-'Model inputs'!AB37</f>
        <v>-6073.857531041125</v>
      </c>
      <c r="I69" s="14">
        <f>'Model inputs'!I23-'Model inputs'!AB37</f>
        <v>-5949.669234489069</v>
      </c>
      <c r="J69" s="14">
        <f>'Model inputs'!J23-'Model inputs'!AB37</f>
        <v>-5831.690352764615</v>
      </c>
      <c r="K69" s="14">
        <f>'Model inputs'!K23-'Model inputs'!AB37</f>
        <v>-5719.610415126384</v>
      </c>
      <c r="L69" s="14">
        <f>'Model inputs'!L23-'Model inputs'!AB37</f>
        <v>-5613.134474370066</v>
      </c>
      <c r="M69" s="14">
        <f>'Model inputs'!M23-'Model inputs'!AB37</f>
        <v>-5511.982330651562</v>
      </c>
      <c r="N69" s="14">
        <f>'Model inputs'!N23-'Model inputs'!AB37</f>
        <v>-5415.887794118984</v>
      </c>
      <c r="O69" s="14">
        <f>'Model inputs'!O23-'Model inputs'!AB37</f>
        <v>-5324.597984413034</v>
      </c>
      <c r="P69" s="14">
        <f>'Model inputs'!P23-'Model inputs'!AB37</f>
        <v>-5237.872665192383</v>
      </c>
      <c r="Q69" s="14">
        <f>'Model inputs'!Q23-'Model inputs'!AB37</f>
        <v>-5155.483611932764</v>
      </c>
      <c r="R69" s="14">
        <f>'Model inputs'!R23-'Model inputs'!AB37</f>
        <v>-5077.214011336126</v>
      </c>
      <c r="S69" s="14">
        <f>'Model inputs'!S23-'Model inputs'!AB37</f>
        <v>-5002.857890769319</v>
      </c>
      <c r="T69" s="14">
        <f>'Model inputs'!T23-'Model inputs'!AB37</f>
        <v>-4932.219576230853</v>
      </c>
      <c r="U69" s="14">
        <f>'Model inputs'!U23-'Model inputs'!AB37</f>
        <v>-4865.113177419311</v>
      </c>
      <c r="V69" s="14">
        <f>'Model inputs'!V23-'Model inputs'!AB37</f>
        <v>-4801.362098548345</v>
      </c>
      <c r="W69" s="14">
        <f>'Model inputs'!W23-'Model inputs'!AB37</f>
        <v>-4740.798573620928</v>
      </c>
      <c r="X69" s="14">
        <f>'Model inputs'!X23-'Model inputs'!AB37</f>
        <v>-4683.263224939881</v>
      </c>
      <c r="Y69" s="14">
        <f>'Model inputs'!Y23-'Model inputs'!AB37</f>
        <v>-4628.604643692887</v>
      </c>
      <c r="Z69" s="14">
        <f>'Model inputs'!Z23-'Model inputs'!AB37</f>
        <v>-4576.678991508243</v>
      </c>
      <c r="AA69" s="14">
        <f>'Model inputs'!AA23-'Model inputs'!AB37</f>
        <v>-4527.349621932831</v>
      </c>
    </row>
    <row r="70">
      <c r="A70" t="inlineStr" s="23">
        <is>
          <t xml:space="preserve">Operating result · CheckoutGuard — Growth</t>
        </is>
      </c>
      <c r="B70" s="14">
        <f>0</f>
        <v>0</v>
      </c>
      <c r="C70" s="14">
        <f>0</f>
        <v>0</v>
      </c>
      <c r="D70" s="14">
        <f>'Model inputs'!D27-'Model inputs'!AB38</f>
        <v>-6236.47692</v>
      </c>
      <c r="E70" s="14">
        <f>'Model inputs'!E27-'Model inputs'!AB38</f>
        <v>-5639.1424552</v>
      </c>
      <c r="F70" s="14">
        <f>'Model inputs'!F27-'Model inputs'!AB38</f>
        <v>-5005.066285584</v>
      </c>
      <c r="G70" s="14">
        <f>'Model inputs'!G27-'Model inputs'!AB38</f>
        <v>-4331.0881737193595</v>
      </c>
      <c r="H70" s="14">
        <f>'Model inputs'!H27-'Model inputs'!AB38</f>
        <v>-3613.7994811997755</v>
      </c>
      <c r="I70" s="14">
        <f>'Model inputs'!I27-'Model inputs'!AB38</f>
        <v>-2849.5232082069665</v>
      </c>
      <c r="J70" s="14">
        <f>'Model inputs'!J27-'Model inputs'!AB38</f>
        <v>-2034.2924380045097</v>
      </c>
      <c r="K70" s="14">
        <f>'Model inputs'!K27-'Model inputs'!AB38</f>
        <v>-1163.8270587230363</v>
      </c>
      <c r="L70" s="14">
        <f>'Model inputs'!L27-'Model inputs'!AB38</f>
        <v>-233.5086245854809</v>
      </c>
      <c r="M70" s="14">
        <f>'Model inputs'!M27-'Model inputs'!AB38</f>
        <v>761.646792306371</v>
      </c>
      <c r="N70" s="14">
        <f>'Model inputs'!N27-'Model inputs'!AB38</f>
        <v>1827.017920412396</v>
      </c>
      <c r="O70" s="14">
        <f>'Model inputs'!O27-'Model inputs'!AB38</f>
        <v>2968.4099510724736</v>
      </c>
      <c r="P70" s="14">
        <f>'Model inputs'!P27-'Model inputs'!AB38</f>
        <v>4192.088732244818</v>
      </c>
      <c r="Q70" s="14">
        <f>'Model inputs'!Q27-'Model inputs'!AB38</f>
        <v>5504.817696209215</v>
      </c>
      <c r="R70" s="14">
        <f>'Model inputs'!R27-'Model inputs'!AB38</f>
        <v>6913.897739983069</v>
      </c>
      <c r="S70" s="14">
        <f>'Model inputs'!S27-'Model inputs'!AB38</f>
        <v>8427.21029469729</v>
      </c>
      <c r="T70" s="14">
        <f>'Model inputs'!T27-'Model inputs'!AB38</f>
        <v>10053.26383907834</v>
      </c>
      <c r="U70" s="14">
        <f>'Model inputs'!U27-'Model inputs'!AB38</f>
        <v>11801.244132593765</v>
      </c>
      <c r="V70" s="14">
        <f>'Model inputs'!V27-'Model inputs'!AB38</f>
        <v>13681.068465862641</v>
      </c>
      <c r="W70" s="14">
        <f>'Model inputs'!W27-'Model inputs'!AB38</f>
        <v>15703.444249739798</v>
      </c>
      <c r="X70" s="14">
        <f>'Model inputs'!X27-'Model inputs'!AB38</f>
        <v>17879.932290194967</v>
      </c>
      <c r="Y70" s="14">
        <f>'Model inputs'!Y27-'Model inputs'!AB38</f>
        <v>20223.01512387703</v>
      </c>
      <c r="Z70" s="14">
        <f>'Model inputs'!Z27-'Model inputs'!AB38</f>
        <v>22746.170819244333</v>
      </c>
      <c r="AA70" s="14">
        <f>'Model inputs'!AA27-'Model inputs'!AB38</f>
        <v>25463.95268053187</v>
      </c>
    </row>
    <row r="71">
      <c r="A71" t="inlineStr" s="23">
        <is>
          <t xml:space="preserve">Paid conversion</t>
        </is>
      </c>
      <c r="AB71" s="19">
        <v>0</v>
      </c>
    </row>
    <row r="72" outlineLevel="1">
      <c r="A72" t="inlineStr" s="24">
        <is>
          <t xml:space="preserve">Paid conversion &gt; Agency</t>
        </is>
      </c>
      <c r="AB72" s="18">
        <f>'CheckoutGuard — Assumptions · W'!G5</f>
        <v>0.1</v>
      </c>
    </row>
    <row r="73" outlineLevel="1">
      <c r="A73" t="inlineStr" s="24">
        <is>
          <t xml:space="preserve">Paid conversion &gt; Developer</t>
        </is>
      </c>
      <c r="AB73" s="18">
        <f>'CheckoutGuard — Assumptions · W'!G6</f>
        <v>0.05</v>
      </c>
    </row>
    <row r="74" outlineLevel="1">
      <c r="A74" t="inlineStr" s="24">
        <is>
          <t xml:space="preserve">Paid conversion &gt; Team</t>
        </is>
      </c>
      <c r="AB74" s="18">
        <f>'CheckoutGuard — Assumptions · W'!G7</f>
        <v>0.1</v>
      </c>
    </row>
    <row r="75">
      <c r="A75" t="inlineStr" s="23">
        <is>
          <t xml:space="preserve">Prospect monthly growth · CheckoutGuard — Forecast · CheckoutGuard monthly forecast — assumptions</t>
        </is>
      </c>
      <c r="AB75" s="18">
        <f>'CheckoutGuard — Assumptions · C'!B18</f>
        <v>0.05</v>
      </c>
    </row>
    <row r="76">
      <c r="A76" t="inlineStr" s="23">
        <is>
          <t xml:space="preserve">Provider stress factor</t>
        </is>
      </c>
      <c r="AB76" s="9">
        <f>'CheckoutGuard — Assumptions · S'!B7</f>
        <v>10</v>
      </c>
    </row>
    <row r="77">
      <c r="A77" t="inlineStr" s="23">
        <is>
          <t xml:space="preserve">Qualified prospects</t>
        </is>
      </c>
      <c r="B77" s="6">
        <f>SUM('Model inputs'!B78,'Model inputs'!B79,'Model inputs'!B80)</f>
        <v>0</v>
      </c>
      <c r="C77" s="6">
        <f>SUM('Model inputs'!C78,'Model inputs'!C79,'Model inputs'!C80)</f>
        <v>0</v>
      </c>
      <c r="D77" s="6">
        <f>SUM('Model inputs'!D78,'Model inputs'!D79,'Model inputs'!D80)</f>
        <v>65</v>
      </c>
      <c r="E77" s="6">
        <f>SUM('Model inputs'!E78,'Model inputs'!E79,'Model inputs'!E80)</f>
        <v>68.25</v>
      </c>
      <c r="F77" s="6">
        <f>SUM('Model inputs'!F78,'Model inputs'!F79,'Model inputs'!F80)</f>
        <v>71.66250000000001</v>
      </c>
      <c r="G77" s="6">
        <f>SUM('Model inputs'!G78,'Model inputs'!G79,'Model inputs'!G80)</f>
        <v>75.24562500000002</v>
      </c>
      <c r="H77" s="6">
        <f>SUM('Model inputs'!H78,'Model inputs'!H79,'Model inputs'!H80)</f>
        <v>79.00790625000002</v>
      </c>
      <c r="I77" s="6">
        <f>SUM('Model inputs'!I78,'Model inputs'!I79,'Model inputs'!I80)</f>
        <v>82.95830156250003</v>
      </c>
      <c r="J77" s="6">
        <f>SUM('Model inputs'!J78,'Model inputs'!J79,'Model inputs'!J80)</f>
        <v>87.10621664062502</v>
      </c>
      <c r="K77" s="6">
        <f>SUM('Model inputs'!K78,'Model inputs'!K79,'Model inputs'!K80)</f>
        <v>91.46152747265629</v>
      </c>
      <c r="L77" s="6">
        <f>SUM('Model inputs'!L78,'Model inputs'!L79,'Model inputs'!L80)</f>
        <v>96.0346038462891</v>
      </c>
      <c r="M77" s="6">
        <f>SUM('Model inputs'!M78,'Model inputs'!M79,'Model inputs'!M80)</f>
        <v>100.83633403860355</v>
      </c>
      <c r="N77" s="6">
        <f>SUM('Model inputs'!N78,'Model inputs'!N79,'Model inputs'!N80)</f>
        <v>105.87815074053373</v>
      </c>
      <c r="O77" s="6">
        <f>SUM('Model inputs'!O78,'Model inputs'!O79,'Model inputs'!O80)</f>
        <v>111.17205827756044</v>
      </c>
      <c r="P77" s="6">
        <f>SUM('Model inputs'!P78,'Model inputs'!P79,'Model inputs'!P80)</f>
        <v>116.73066119143846</v>
      </c>
      <c r="Q77" s="6">
        <f>SUM('Model inputs'!Q78,'Model inputs'!Q79,'Model inputs'!Q80)</f>
        <v>122.56719425101039</v>
      </c>
      <c r="R77" s="6">
        <f>SUM('Model inputs'!R78,'Model inputs'!R79,'Model inputs'!R80)</f>
        <v>128.6955539635609</v>
      </c>
      <c r="S77" s="6">
        <f>SUM('Model inputs'!S78,'Model inputs'!S79,'Model inputs'!S80)</f>
        <v>135.13033166173898</v>
      </c>
      <c r="T77" s="6">
        <f>SUM('Model inputs'!T78,'Model inputs'!T79,'Model inputs'!T80)</f>
        <v>141.8868482448259</v>
      </c>
      <c r="U77" s="6">
        <f>SUM('Model inputs'!U78,'Model inputs'!U79,'Model inputs'!U80)</f>
        <v>148.9811906570672</v>
      </c>
      <c r="V77" s="6">
        <f>SUM('Model inputs'!V78,'Model inputs'!V79,'Model inputs'!V80)</f>
        <v>156.43025018992057</v>
      </c>
      <c r="W77" s="6">
        <f>SUM('Model inputs'!W78,'Model inputs'!W79,'Model inputs'!W80)</f>
        <v>164.25176269941662</v>
      </c>
      <c r="X77" s="6">
        <f>SUM('Model inputs'!X78,'Model inputs'!X79,'Model inputs'!X80)</f>
        <v>172.46435083438743</v>
      </c>
      <c r="Y77" s="6">
        <f>SUM('Model inputs'!Y78,'Model inputs'!Y79,'Model inputs'!Y80)</f>
        <v>181.08756837610684</v>
      </c>
      <c r="Z77" s="6">
        <f>SUM('Model inputs'!Z78,'Model inputs'!Z79,'Model inputs'!Z80)</f>
        <v>190.1419467949122</v>
      </c>
      <c r="AA77" s="6">
        <f>SUM('Model inputs'!AA78,'Model inputs'!AA79,'Model inputs'!AA80)</f>
        <v>199.6490441346578</v>
      </c>
    </row>
    <row r="78" outlineLevel="1">
      <c r="A78" t="inlineStr" s="24">
        <is>
          <t xml:space="preserve">Qualified prospects &gt; Agency</t>
        </is>
      </c>
      <c r="B78" s="9">
        <f>0</f>
        <v>0</v>
      </c>
      <c r="C78" s="9">
        <f>0</f>
        <v>0</v>
      </c>
      <c r="D78" s="9">
        <f>'Model inputs'!AB61*IF(AND((1+'Model inputs'!AB75)=0,DATEDIF(DATE(2026,11,1),DATE(2026,11,1),"M")=0),SQRT(-1),(1+'Model inputs'!AB75)^DATEDIF(DATE(2026,11,1),DATE(2026,11,1),"M"))</f>
        <v>5</v>
      </c>
      <c r="E78" s="9">
        <f>'Model inputs'!AB61*IF(AND((1+'Model inputs'!AB75)=0,DATEDIF(DATE(2026,11,1),DATE(2026,12,1),"M")=0),SQRT(-1),(1+'Model inputs'!AB75)^DATEDIF(DATE(2026,11,1),DATE(2026,12,1),"M"))</f>
        <v>5.25</v>
      </c>
      <c r="F78" s="9">
        <f>'Model inputs'!AB61*IF(AND((1+'Model inputs'!AB75)=0,DATEDIF(DATE(2026,11,1),DATE(2027,1,1),"M")=0),SQRT(-1),(1+'Model inputs'!AB75)^DATEDIF(DATE(2026,11,1),DATE(2027,1,1),"M"))</f>
        <v>5.5125</v>
      </c>
      <c r="G78" s="9">
        <f>'Model inputs'!AB61*IF(AND((1+'Model inputs'!AB75)=0,DATEDIF(DATE(2026,11,1),DATE(2027,2,1),"M")=0),SQRT(-1),(1+'Model inputs'!AB75)^DATEDIF(DATE(2026,11,1),DATE(2027,2,1),"M"))</f>
        <v>5.788125000000001</v>
      </c>
      <c r="H78" s="9">
        <f>'Model inputs'!AB61*IF(AND((1+'Model inputs'!AB75)=0,DATEDIF(DATE(2026,11,1),DATE(2027,3,1),"M")=0),SQRT(-1),(1+'Model inputs'!AB75)^DATEDIF(DATE(2026,11,1),DATE(2027,3,1),"M"))</f>
        <v>6.077531250000002</v>
      </c>
      <c r="I78" s="9">
        <f>'Model inputs'!AB61*IF(AND((1+'Model inputs'!AB75)=0,DATEDIF(DATE(2026,11,1),DATE(2027,4,1),"M")=0),SQRT(-1),(1+'Model inputs'!AB75)^DATEDIF(DATE(2026,11,1),DATE(2027,4,1),"M"))</f>
        <v>6.381407812500002</v>
      </c>
      <c r="J78" s="9">
        <f>'Model inputs'!AB61*IF(AND((1+'Model inputs'!AB75)=0,DATEDIF(DATE(2026,11,1),DATE(2027,5,1),"M")=0),SQRT(-1),(1+'Model inputs'!AB75)^DATEDIF(DATE(2026,11,1),DATE(2027,5,1),"M"))</f>
        <v>6.700478203125002</v>
      </c>
      <c r="K78" s="9">
        <f>'Model inputs'!AB61*IF(AND((1+'Model inputs'!AB75)=0,DATEDIF(DATE(2026,11,1),DATE(2027,6,1),"M")=0),SQRT(-1),(1+'Model inputs'!AB75)^DATEDIF(DATE(2026,11,1),DATE(2027,6,1),"M"))</f>
        <v>7.035502113281252</v>
      </c>
      <c r="L78" s="9">
        <f>'Model inputs'!AB61*IF(AND((1+'Model inputs'!AB75)=0,DATEDIF(DATE(2026,11,1),DATE(2027,7,1),"M")=0),SQRT(-1),(1+'Model inputs'!AB75)^DATEDIF(DATE(2026,11,1),DATE(2027,7,1),"M"))</f>
        <v>7.387277218945315</v>
      </c>
      <c r="M78" s="9">
        <f>'Model inputs'!AB61*IF(AND((1+'Model inputs'!AB75)=0,DATEDIF(DATE(2026,11,1),DATE(2027,8,1),"M")=0),SQRT(-1),(1+'Model inputs'!AB75)^DATEDIF(DATE(2026,11,1),DATE(2027,8,1),"M"))</f>
        <v>7.756641079892582</v>
      </c>
      <c r="N78" s="9">
        <f>'Model inputs'!AB61*IF(AND((1+'Model inputs'!AB75)=0,DATEDIF(DATE(2026,11,1),DATE(2027,9,1),"M")=0),SQRT(-1),(1+'Model inputs'!AB75)^DATEDIF(DATE(2026,11,1),DATE(2027,9,1),"M"))</f>
        <v>8.14447313388721</v>
      </c>
      <c r="O78" s="9">
        <f>'Model inputs'!AB61*IF(AND((1+'Model inputs'!AB75)=0,DATEDIF(DATE(2026,11,1),DATE(2027,10,1),"M")=0),SQRT(-1),(1+'Model inputs'!AB75)^DATEDIF(DATE(2026,11,1),DATE(2027,10,1),"M"))</f>
        <v>8.551696790581572</v>
      </c>
      <c r="P78" s="9">
        <f>'Model inputs'!AB61*IF(AND((1+'Model inputs'!AB75)=0,DATEDIF(DATE(2026,11,1),DATE(2027,11,1),"M")=0),SQRT(-1),(1+'Model inputs'!AB75)^DATEDIF(DATE(2026,11,1),DATE(2027,11,1),"M"))</f>
        <v>8.97928163011065</v>
      </c>
      <c r="Q78" s="9">
        <f>'Model inputs'!AB61*IF(AND((1+'Model inputs'!AB75)=0,DATEDIF(DATE(2026,11,1),DATE(2027,12,1),"M")=0),SQRT(-1),(1+'Model inputs'!AB75)^DATEDIF(DATE(2026,11,1),DATE(2027,12,1),"M"))</f>
        <v>9.428245711616183</v>
      </c>
      <c r="R78" s="9">
        <f>'Model inputs'!AB61*IF(AND((1+'Model inputs'!AB75)=0,DATEDIF(DATE(2026,11,1),DATE(2028,1,1),"M")=0),SQRT(-1),(1+'Model inputs'!AB75)^DATEDIF(DATE(2026,11,1),DATE(2028,1,1),"M"))</f>
        <v>9.899657997196993</v>
      </c>
      <c r="S78" s="9">
        <f>'Model inputs'!AB61*IF(AND((1+'Model inputs'!AB75)=0,DATEDIF(DATE(2026,11,1),DATE(2028,2,1),"M")=0),SQRT(-1),(1+'Model inputs'!AB75)^DATEDIF(DATE(2026,11,1),DATE(2028,2,1),"M"))</f>
        <v>10.394640897056844</v>
      </c>
      <c r="T78" s="9">
        <f>'Model inputs'!AB61*IF(AND((1+'Model inputs'!AB75)=0,DATEDIF(DATE(2026,11,1),DATE(2028,3,1),"M")=0),SQRT(-1),(1+'Model inputs'!AB75)^DATEDIF(DATE(2026,11,1),DATE(2028,3,1),"M"))</f>
        <v>10.914372941909685</v>
      </c>
      <c r="U78" s="9">
        <f>'Model inputs'!AB61*IF(AND((1+'Model inputs'!AB75)=0,DATEDIF(DATE(2026,11,1),DATE(2028,4,1),"M")=0),SQRT(-1),(1+'Model inputs'!AB75)^DATEDIF(DATE(2026,11,1),DATE(2028,4,1),"M"))</f>
        <v>11.46009158900517</v>
      </c>
      <c r="V78" s="9">
        <f>'Model inputs'!AB61*IF(AND((1+'Model inputs'!AB75)=0,DATEDIF(DATE(2026,11,1),DATE(2028,5,1),"M")=0),SQRT(-1),(1+'Model inputs'!AB75)^DATEDIF(DATE(2026,11,1),DATE(2028,5,1),"M"))</f>
        <v>12.033096168455428</v>
      </c>
      <c r="W78" s="9">
        <f>'Model inputs'!AB61*IF(AND((1+'Model inputs'!AB75)=0,DATEDIF(DATE(2026,11,1),DATE(2028,6,1),"M")=0),SQRT(-1),(1+'Model inputs'!AB75)^DATEDIF(DATE(2026,11,1),DATE(2028,6,1),"M"))</f>
        <v>12.634750976878202</v>
      </c>
      <c r="X78" s="9">
        <f>'Model inputs'!AB61*IF(AND((1+'Model inputs'!AB75)=0,DATEDIF(DATE(2026,11,1),DATE(2028,7,1),"M")=0),SQRT(-1),(1+'Model inputs'!AB75)^DATEDIF(DATE(2026,11,1),DATE(2028,7,1),"M"))</f>
        <v>13.26648852572211</v>
      </c>
      <c r="Y78" s="9">
        <f>'Model inputs'!AB61*IF(AND((1+'Model inputs'!AB75)=0,DATEDIF(DATE(2026,11,1),DATE(2028,8,1),"M")=0),SQRT(-1),(1+'Model inputs'!AB75)^DATEDIF(DATE(2026,11,1),DATE(2028,8,1),"M"))</f>
        <v>13.929812952008218</v>
      </c>
      <c r="Z78" s="9">
        <f>'Model inputs'!AB61*IF(AND((1+'Model inputs'!AB75)=0,DATEDIF(DATE(2026,11,1),DATE(2028,9,1),"M")=0),SQRT(-1),(1+'Model inputs'!AB75)^DATEDIF(DATE(2026,11,1),DATE(2028,9,1),"M"))</f>
        <v>14.62630359960863</v>
      </c>
      <c r="AA78" s="9">
        <f>'Model inputs'!AB61*IF(AND((1+'Model inputs'!AB75)=0,DATEDIF(DATE(2026,11,1),DATE(2028,10,1),"M")=0),SQRT(-1),(1+'Model inputs'!AB75)^DATEDIF(DATE(2026,11,1),DATE(2028,10,1),"M"))</f>
        <v>15.357618779589062</v>
      </c>
    </row>
    <row r="79" outlineLevel="1">
      <c r="A79" t="inlineStr" s="24">
        <is>
          <t xml:space="preserve">Qualified prospects &gt; Developer</t>
        </is>
      </c>
      <c r="B79" s="9">
        <f>0</f>
        <v>0</v>
      </c>
      <c r="C79" s="9">
        <f>0</f>
        <v>0</v>
      </c>
      <c r="D79" s="9">
        <f>'Model inputs'!AB62*IF(AND((1+'Model inputs'!AB75)=0,DATEDIF(DATE(2026,11,1),DATE(2026,11,1),"M")=0),SQRT(-1),(1+'Model inputs'!AB75)^DATEDIF(DATE(2026,11,1),DATE(2026,11,1),"M"))</f>
        <v>40</v>
      </c>
      <c r="E79" s="9">
        <f>'Model inputs'!AB62*IF(AND((1+'Model inputs'!AB75)=0,DATEDIF(DATE(2026,11,1),DATE(2026,12,1),"M")=0),SQRT(-1),(1+'Model inputs'!AB75)^DATEDIF(DATE(2026,11,1),DATE(2026,12,1),"M"))</f>
        <v>42</v>
      </c>
      <c r="F79" s="9">
        <f>'Model inputs'!AB62*IF(AND((1+'Model inputs'!AB75)=0,DATEDIF(DATE(2026,11,1),DATE(2027,1,1),"M")=0),SQRT(-1),(1+'Model inputs'!AB75)^DATEDIF(DATE(2026,11,1),DATE(2027,1,1),"M"))</f>
        <v>44.1</v>
      </c>
      <c r="G79" s="9">
        <f>'Model inputs'!AB62*IF(AND((1+'Model inputs'!AB75)=0,DATEDIF(DATE(2026,11,1),DATE(2027,2,1),"M")=0),SQRT(-1),(1+'Model inputs'!AB75)^DATEDIF(DATE(2026,11,1),DATE(2027,2,1),"M"))</f>
        <v>46.30500000000001</v>
      </c>
      <c r="H79" s="9">
        <f>'Model inputs'!AB62*IF(AND((1+'Model inputs'!AB75)=0,DATEDIF(DATE(2026,11,1),DATE(2027,3,1),"M")=0),SQRT(-1),(1+'Model inputs'!AB75)^DATEDIF(DATE(2026,11,1),DATE(2027,3,1),"M"))</f>
        <v>48.62025000000001</v>
      </c>
      <c r="I79" s="9">
        <f>'Model inputs'!AB62*IF(AND((1+'Model inputs'!AB75)=0,DATEDIF(DATE(2026,11,1),DATE(2027,4,1),"M")=0),SQRT(-1),(1+'Model inputs'!AB75)^DATEDIF(DATE(2026,11,1),DATE(2027,4,1),"M"))</f>
        <v>51.051262500000014</v>
      </c>
      <c r="J79" s="9">
        <f>'Model inputs'!AB62*IF(AND((1+'Model inputs'!AB75)=0,DATEDIF(DATE(2026,11,1),DATE(2027,5,1),"M")=0),SQRT(-1),(1+'Model inputs'!AB75)^DATEDIF(DATE(2026,11,1),DATE(2027,5,1),"M"))</f>
        <v>53.60382562500001</v>
      </c>
      <c r="K79" s="9">
        <f>'Model inputs'!AB62*IF(AND((1+'Model inputs'!AB75)=0,DATEDIF(DATE(2026,11,1),DATE(2027,6,1),"M")=0),SQRT(-1),(1+'Model inputs'!AB75)^DATEDIF(DATE(2026,11,1),DATE(2027,6,1),"M"))</f>
        <v>56.28401690625002</v>
      </c>
      <c r="L79" s="9">
        <f>'Model inputs'!AB62*IF(AND((1+'Model inputs'!AB75)=0,DATEDIF(DATE(2026,11,1),DATE(2027,7,1),"M")=0),SQRT(-1),(1+'Model inputs'!AB75)^DATEDIF(DATE(2026,11,1),DATE(2027,7,1),"M"))</f>
        <v>59.09821775156252</v>
      </c>
      <c r="M79" s="9">
        <f>'Model inputs'!AB62*IF(AND((1+'Model inputs'!AB75)=0,DATEDIF(DATE(2026,11,1),DATE(2027,8,1),"M")=0),SQRT(-1),(1+'Model inputs'!AB75)^DATEDIF(DATE(2026,11,1),DATE(2027,8,1),"M"))</f>
        <v>62.05312863914065</v>
      </c>
      <c r="N79" s="9">
        <f>'Model inputs'!AB62*IF(AND((1+'Model inputs'!AB75)=0,DATEDIF(DATE(2026,11,1),DATE(2027,9,1),"M")=0),SQRT(-1),(1+'Model inputs'!AB75)^DATEDIF(DATE(2026,11,1),DATE(2027,9,1),"M"))</f>
        <v>65.15578507109768</v>
      </c>
      <c r="O79" s="9">
        <f>'Model inputs'!AB62*IF(AND((1+'Model inputs'!AB75)=0,DATEDIF(DATE(2026,11,1),DATE(2027,10,1),"M")=0),SQRT(-1),(1+'Model inputs'!AB75)^DATEDIF(DATE(2026,11,1),DATE(2027,10,1),"M"))</f>
        <v>68.41357432465257</v>
      </c>
      <c r="P79" s="9">
        <f>'Model inputs'!AB62*IF(AND((1+'Model inputs'!AB75)=0,DATEDIF(DATE(2026,11,1),DATE(2027,11,1),"M")=0),SQRT(-1),(1+'Model inputs'!AB75)^DATEDIF(DATE(2026,11,1),DATE(2027,11,1),"M"))</f>
        <v>71.8342530408852</v>
      </c>
      <c r="Q79" s="9">
        <f>'Model inputs'!AB62*IF(AND((1+'Model inputs'!AB75)=0,DATEDIF(DATE(2026,11,1),DATE(2027,12,1),"M")=0),SQRT(-1),(1+'Model inputs'!AB75)^DATEDIF(DATE(2026,11,1),DATE(2027,12,1),"M"))</f>
        <v>75.42596569292947</v>
      </c>
      <c r="R79" s="9">
        <f>'Model inputs'!AB62*IF(AND((1+'Model inputs'!AB75)=0,DATEDIF(DATE(2026,11,1),DATE(2028,1,1),"M")=0),SQRT(-1),(1+'Model inputs'!AB75)^DATEDIF(DATE(2026,11,1),DATE(2028,1,1),"M"))</f>
        <v>79.19726397757594</v>
      </c>
      <c r="S79" s="9">
        <f>'Model inputs'!AB62*IF(AND((1+'Model inputs'!AB75)=0,DATEDIF(DATE(2026,11,1),DATE(2028,2,1),"M")=0),SQRT(-1),(1+'Model inputs'!AB75)^DATEDIF(DATE(2026,11,1),DATE(2028,2,1),"M"))</f>
        <v>83.15712717645475</v>
      </c>
      <c r="T79" s="9">
        <f>'Model inputs'!AB62*IF(AND((1+'Model inputs'!AB75)=0,DATEDIF(DATE(2026,11,1),DATE(2028,3,1),"M")=0),SQRT(-1),(1+'Model inputs'!AB75)^DATEDIF(DATE(2026,11,1),DATE(2028,3,1),"M"))</f>
        <v>87.31498353527748</v>
      </c>
      <c r="U79" s="9">
        <f>'Model inputs'!AB62*IF(AND((1+'Model inputs'!AB75)=0,DATEDIF(DATE(2026,11,1),DATE(2028,4,1),"M")=0),SQRT(-1),(1+'Model inputs'!AB75)^DATEDIF(DATE(2026,11,1),DATE(2028,4,1),"M"))</f>
        <v>91.68073271204136</v>
      </c>
      <c r="V79" s="9">
        <f>'Model inputs'!AB62*IF(AND((1+'Model inputs'!AB75)=0,DATEDIF(DATE(2026,11,1),DATE(2028,5,1),"M")=0),SQRT(-1),(1+'Model inputs'!AB75)^DATEDIF(DATE(2026,11,1),DATE(2028,5,1),"M"))</f>
        <v>96.26476934764342</v>
      </c>
      <c r="W79" s="9">
        <f>'Model inputs'!AB62*IF(AND((1+'Model inputs'!AB75)=0,DATEDIF(DATE(2026,11,1),DATE(2028,6,1),"M")=0),SQRT(-1),(1+'Model inputs'!AB75)^DATEDIF(DATE(2026,11,1),DATE(2028,6,1),"M"))</f>
        <v>101.07800781502561</v>
      </c>
      <c r="X79" s="9">
        <f>'Model inputs'!AB62*IF(AND((1+'Model inputs'!AB75)=0,DATEDIF(DATE(2026,11,1),DATE(2028,7,1),"M")=0),SQRT(-1),(1+'Model inputs'!AB75)^DATEDIF(DATE(2026,11,1),DATE(2028,7,1),"M"))</f>
        <v>106.13190820577688</v>
      </c>
      <c r="Y79" s="9">
        <f>'Model inputs'!AB62*IF(AND((1+'Model inputs'!AB75)=0,DATEDIF(DATE(2026,11,1),DATE(2028,8,1),"M")=0),SQRT(-1),(1+'Model inputs'!AB75)^DATEDIF(DATE(2026,11,1),DATE(2028,8,1),"M"))</f>
        <v>111.43850361606574</v>
      </c>
      <c r="Z79" s="9">
        <f>'Model inputs'!AB62*IF(AND((1+'Model inputs'!AB75)=0,DATEDIF(DATE(2026,11,1),DATE(2028,9,1),"M")=0),SQRT(-1),(1+'Model inputs'!AB75)^DATEDIF(DATE(2026,11,1),DATE(2028,9,1),"M"))</f>
        <v>117.01042879686904</v>
      </c>
      <c r="AA79" s="9">
        <f>'Model inputs'!AB62*IF(AND((1+'Model inputs'!AB75)=0,DATEDIF(DATE(2026,11,1),DATE(2028,10,1),"M")=0),SQRT(-1),(1+'Model inputs'!AB75)^DATEDIF(DATE(2026,11,1),DATE(2028,10,1),"M"))</f>
        <v>122.8609502367125</v>
      </c>
    </row>
    <row r="80" outlineLevel="1">
      <c r="A80" t="inlineStr" s="24">
        <is>
          <t xml:space="preserve">Qualified prospects &gt; Team</t>
        </is>
      </c>
      <c r="B80" s="9">
        <f>0</f>
        <v>0</v>
      </c>
      <c r="C80" s="9">
        <f>0</f>
        <v>0</v>
      </c>
      <c r="D80" s="9">
        <f>'Model inputs'!AB63*IF(AND((1+'Model inputs'!AB75)=0,DATEDIF(DATE(2026,11,1),DATE(2026,11,1),"M")=0),SQRT(-1),(1+'Model inputs'!AB75)^DATEDIF(DATE(2026,11,1),DATE(2026,11,1),"M"))</f>
        <v>20</v>
      </c>
      <c r="E80" s="9">
        <f>'Model inputs'!AB63*IF(AND((1+'Model inputs'!AB75)=0,DATEDIF(DATE(2026,11,1),DATE(2026,12,1),"M")=0),SQRT(-1),(1+'Model inputs'!AB75)^DATEDIF(DATE(2026,11,1),DATE(2026,12,1),"M"))</f>
        <v>21</v>
      </c>
      <c r="F80" s="9">
        <f>'Model inputs'!AB63*IF(AND((1+'Model inputs'!AB75)=0,DATEDIF(DATE(2026,11,1),DATE(2027,1,1),"M")=0),SQRT(-1),(1+'Model inputs'!AB75)^DATEDIF(DATE(2026,11,1),DATE(2027,1,1),"M"))</f>
        <v>22.05</v>
      </c>
      <c r="G80" s="9">
        <f>'Model inputs'!AB63*IF(AND((1+'Model inputs'!AB75)=0,DATEDIF(DATE(2026,11,1),DATE(2027,2,1),"M")=0),SQRT(-1),(1+'Model inputs'!AB75)^DATEDIF(DATE(2026,11,1),DATE(2027,2,1),"M"))</f>
        <v>23.152500000000003</v>
      </c>
      <c r="H80" s="9">
        <f>'Model inputs'!AB63*IF(AND((1+'Model inputs'!AB75)=0,DATEDIF(DATE(2026,11,1),DATE(2027,3,1),"M")=0),SQRT(-1),(1+'Model inputs'!AB75)^DATEDIF(DATE(2026,11,1),DATE(2027,3,1),"M"))</f>
        <v>24.310125000000006</v>
      </c>
      <c r="I80" s="9">
        <f>'Model inputs'!AB63*IF(AND((1+'Model inputs'!AB75)=0,DATEDIF(DATE(2026,11,1),DATE(2027,4,1),"M")=0),SQRT(-1),(1+'Model inputs'!AB75)^DATEDIF(DATE(2026,11,1),DATE(2027,4,1),"M"))</f>
        <v>25.525631250000007</v>
      </c>
      <c r="J80" s="9">
        <f>'Model inputs'!AB63*IF(AND((1+'Model inputs'!AB75)=0,DATEDIF(DATE(2026,11,1),DATE(2027,5,1),"M")=0),SQRT(-1),(1+'Model inputs'!AB75)^DATEDIF(DATE(2026,11,1),DATE(2027,5,1),"M"))</f>
        <v>26.801912812500007</v>
      </c>
      <c r="K80" s="9">
        <f>'Model inputs'!AB63*IF(AND((1+'Model inputs'!AB75)=0,DATEDIF(DATE(2026,11,1),DATE(2027,6,1),"M")=0),SQRT(-1),(1+'Model inputs'!AB75)^DATEDIF(DATE(2026,11,1),DATE(2027,6,1),"M"))</f>
        <v>28.14200845312501</v>
      </c>
      <c r="L80" s="9">
        <f>'Model inputs'!AB63*IF(AND((1+'Model inputs'!AB75)=0,DATEDIF(DATE(2026,11,1),DATE(2027,7,1),"M")=0),SQRT(-1),(1+'Model inputs'!AB75)^DATEDIF(DATE(2026,11,1),DATE(2027,7,1),"M"))</f>
        <v>29.54910887578126</v>
      </c>
      <c r="M80" s="9">
        <f>'Model inputs'!AB63*IF(AND((1+'Model inputs'!AB75)=0,DATEDIF(DATE(2026,11,1),DATE(2027,8,1),"M")=0),SQRT(-1),(1+'Model inputs'!AB75)^DATEDIF(DATE(2026,11,1),DATE(2027,8,1),"M"))</f>
        <v>31.026564319570326</v>
      </c>
      <c r="N80" s="9">
        <f>'Model inputs'!AB63*IF(AND((1+'Model inputs'!AB75)=0,DATEDIF(DATE(2026,11,1),DATE(2027,9,1),"M")=0),SQRT(-1),(1+'Model inputs'!AB75)^DATEDIF(DATE(2026,11,1),DATE(2027,9,1),"M"))</f>
        <v>32.57789253554884</v>
      </c>
      <c r="O80" s="9">
        <f>'Model inputs'!AB63*IF(AND((1+'Model inputs'!AB75)=0,DATEDIF(DATE(2026,11,1),DATE(2027,10,1),"M")=0),SQRT(-1),(1+'Model inputs'!AB75)^DATEDIF(DATE(2026,11,1),DATE(2027,10,1),"M"))</f>
        <v>34.206787162326286</v>
      </c>
      <c r="P80" s="9">
        <f>'Model inputs'!AB63*IF(AND((1+'Model inputs'!AB75)=0,DATEDIF(DATE(2026,11,1),DATE(2027,11,1),"M")=0),SQRT(-1),(1+'Model inputs'!AB75)^DATEDIF(DATE(2026,11,1),DATE(2027,11,1),"M"))</f>
        <v>35.9171265204426</v>
      </c>
      <c r="Q80" s="9">
        <f>'Model inputs'!AB63*IF(AND((1+'Model inputs'!AB75)=0,DATEDIF(DATE(2026,11,1),DATE(2027,12,1),"M")=0),SQRT(-1),(1+'Model inputs'!AB75)^DATEDIF(DATE(2026,11,1),DATE(2027,12,1),"M"))</f>
        <v>37.71298284646473</v>
      </c>
      <c r="R80" s="9">
        <f>'Model inputs'!AB63*IF(AND((1+'Model inputs'!AB75)=0,DATEDIF(DATE(2026,11,1),DATE(2028,1,1),"M")=0),SQRT(-1),(1+'Model inputs'!AB75)^DATEDIF(DATE(2026,11,1),DATE(2028,1,1),"M"))</f>
        <v>39.59863198878797</v>
      </c>
      <c r="S80" s="9">
        <f>'Model inputs'!AB63*IF(AND((1+'Model inputs'!AB75)=0,DATEDIF(DATE(2026,11,1),DATE(2028,2,1),"M")=0),SQRT(-1),(1+'Model inputs'!AB75)^DATEDIF(DATE(2026,11,1),DATE(2028,2,1),"M"))</f>
        <v>41.578563588227375</v>
      </c>
      <c r="T80" s="9">
        <f>'Model inputs'!AB63*IF(AND((1+'Model inputs'!AB75)=0,DATEDIF(DATE(2026,11,1),DATE(2028,3,1),"M")=0),SQRT(-1),(1+'Model inputs'!AB75)^DATEDIF(DATE(2026,11,1),DATE(2028,3,1),"M"))</f>
        <v>43.65749176763874</v>
      </c>
      <c r="U80" s="9">
        <f>'Model inputs'!AB63*IF(AND((1+'Model inputs'!AB75)=0,DATEDIF(DATE(2026,11,1),DATE(2028,4,1),"M")=0),SQRT(-1),(1+'Model inputs'!AB75)^DATEDIF(DATE(2026,11,1),DATE(2028,4,1),"M"))</f>
        <v>45.84036635602068</v>
      </c>
      <c r="V80" s="9">
        <f>'Model inputs'!AB63*IF(AND((1+'Model inputs'!AB75)=0,DATEDIF(DATE(2026,11,1),DATE(2028,5,1),"M")=0),SQRT(-1),(1+'Model inputs'!AB75)^DATEDIF(DATE(2026,11,1),DATE(2028,5,1),"M"))</f>
        <v>48.13238467382171</v>
      </c>
      <c r="W80" s="9">
        <f>'Model inputs'!AB63*IF(AND((1+'Model inputs'!AB75)=0,DATEDIF(DATE(2026,11,1),DATE(2028,6,1),"M")=0),SQRT(-1),(1+'Model inputs'!AB75)^DATEDIF(DATE(2026,11,1),DATE(2028,6,1),"M"))</f>
        <v>50.53900390751281</v>
      </c>
      <c r="X80" s="9">
        <f>'Model inputs'!AB63*IF(AND((1+'Model inputs'!AB75)=0,DATEDIF(DATE(2026,11,1),DATE(2028,7,1),"M")=0),SQRT(-1),(1+'Model inputs'!AB75)^DATEDIF(DATE(2026,11,1),DATE(2028,7,1),"M"))</f>
        <v>53.06595410288844</v>
      </c>
      <c r="Y80" s="9">
        <f>'Model inputs'!AB63*IF(AND((1+'Model inputs'!AB75)=0,DATEDIF(DATE(2026,11,1),DATE(2028,8,1),"M")=0),SQRT(-1),(1+'Model inputs'!AB75)^DATEDIF(DATE(2026,11,1),DATE(2028,8,1),"M"))</f>
        <v>55.71925180803287</v>
      </c>
      <c r="Z80" s="9">
        <f>'Model inputs'!AB63*IF(AND((1+'Model inputs'!AB75)=0,DATEDIF(DATE(2026,11,1),DATE(2028,9,1),"M")=0),SQRT(-1),(1+'Model inputs'!AB75)^DATEDIF(DATE(2026,11,1),DATE(2028,9,1),"M"))</f>
        <v>58.50521439843452</v>
      </c>
      <c r="AA80" s="9">
        <f>'Model inputs'!AB63*IF(AND((1+'Model inputs'!AB75)=0,DATEDIF(DATE(2026,11,1),DATE(2028,10,1),"M")=0),SQRT(-1),(1+'Model inputs'!AB75)^DATEDIF(DATE(2026,11,1),DATE(2028,10,1),"M"))</f>
        <v>61.43047511835625</v>
      </c>
    </row>
    <row r="81">
      <c r="A81" t="inlineStr" s="23">
        <is>
          <t xml:space="preserve">Run utilization · CheckoutGuard — Business plan · Pricing contribution by subscription — assumptions</t>
        </is>
      </c>
      <c r="AC81" s="18">
        <f>'CheckoutGuard — Assumptions · C'!B17</f>
        <v>0.5</v>
      </c>
    </row>
    <row r="82">
      <c r="A82" t="inlineStr" s="23">
        <is>
          <t xml:space="preserve">Run utilization · CheckoutGuard — Forecast · CheckoutGuard monthly forecast — assumptions</t>
        </is>
      </c>
      <c r="AB82" s="18">
        <f>'CheckoutGuard — Assumptions · C'!B17</f>
        <v>0.5</v>
      </c>
    </row>
    <row r="83">
      <c r="A83" t="inlineStr" s="23">
        <is>
          <t xml:space="preserve">Stress extra attempt ratio</t>
        </is>
      </c>
      <c r="AB83" s="9">
        <f>'CheckoutGuard — Assumptions · S'!B8</f>
        <v>1</v>
      </c>
    </row>
    <row r="84">
      <c r="A84" t="inlineStr" s="23">
        <is>
          <t xml:space="preserve">Subscription revenue</t>
        </is>
      </c>
      <c r="B84" s="11">
        <f>SUM('Model inputs'!B85,'Model inputs'!B86,'Model inputs'!B87)</f>
        <v>0</v>
      </c>
      <c r="C84" s="11">
        <f>SUM('Model inputs'!C85,'Model inputs'!C86,'Model inputs'!C87)</f>
        <v>0</v>
      </c>
      <c r="D84" s="11">
        <f>SUM('Model inputs'!D85,'Model inputs'!D86,'Model inputs'!D87)</f>
        <v>405.5</v>
      </c>
      <c r="E84" s="11">
        <f>SUM('Model inputs'!E85,'Model inputs'!E86,'Model inputs'!E87)</f>
        <v>819.11</v>
      </c>
      <c r="F84" s="11">
        <f>SUM('Model inputs'!F85,'Model inputs'!F86,'Model inputs'!F87)</f>
        <v>1241.60045</v>
      </c>
      <c r="G84" s="11">
        <f>SUM('Model inputs'!G85,'Model inputs'!G86,'Model inputs'!G87)</f>
        <v>1673.769374</v>
      </c>
      <c r="H84" s="11">
        <f>SUM('Model inputs'!H85,'Model inputs'!H86,'Model inputs'!H87)</f>
        <v>2116.4440771550007</v>
      </c>
      <c r="I84" s="11">
        <f>SUM('Model inputs'!I85,'Model inputs'!I86,'Model inputs'!I87)</f>
        <v>2570.4829284341004</v>
      </c>
      <c r="J84" s="11">
        <f>SUM('Model inputs'!J85,'Model inputs'!J86,'Model inputs'!J87)</f>
        <v>3036.7772228545155</v>
      </c>
      <c r="K84" s="11">
        <f>SUM('Model inputs'!K85,'Model inputs'!K86,'Model inputs'!K87)</f>
        <v>3516.2531275559895</v>
      </c>
      <c r="L84" s="11">
        <f>SUM('Model inputs'!L85,'Model inputs'!L86,'Model inputs'!L87)</f>
        <v>4009.8737161857753</v>
      </c>
      <c r="M84" s="11">
        <f>SUM('Model inputs'!M85,'Model inputs'!M86,'Model inputs'!M87)</f>
        <v>4518.641096279491</v>
      </c>
      <c r="N84" s="11">
        <f>SUM('Model inputs'!N85,'Model inputs'!N86,'Model inputs'!N87)</f>
        <v>5043.598634549358</v>
      </c>
      <c r="O84" s="11">
        <f>SUM('Model inputs'!O85,'Model inputs'!O86,'Model inputs'!O87)</f>
        <v>5585.833285229044</v>
      </c>
      <c r="P84" s="11">
        <f>SUM('Model inputs'!P85,'Model inputs'!P86,'Model inputs'!P87)</f>
        <v>6146.478026874147</v>
      </c>
      <c r="Q84" s="11">
        <f>SUM('Model inputs'!Q85,'Model inputs'!Q86,'Model inputs'!Q87)</f>
        <v>6726.714413279994</v>
      </c>
      <c r="R84" s="11">
        <f>SUM('Model inputs'!R85,'Model inputs'!R86,'Model inputs'!R87)</f>
        <v>7327.775244454271</v>
      </c>
      <c r="S84" s="11">
        <f>SUM('Model inputs'!S85,'Model inputs'!S86,'Model inputs'!S87)</f>
        <v>7950.947363871954</v>
      </c>
      <c r="T84" s="11">
        <f>SUM('Model inputs'!T85,'Model inputs'!T86,'Model inputs'!T87)</f>
        <v>8597.57458854467</v>
      </c>
      <c r="U84" s="11">
        <f>SUM('Model inputs'!U85,'Model inputs'!U86,'Model inputs'!U87)</f>
        <v>9269.060778756651</v>
      </c>
      <c r="V84" s="11">
        <f>SUM('Model inputs'!V85,'Model inputs'!V86,'Model inputs'!V87)</f>
        <v>9966.873054655687</v>
      </c>
      <c r="W84" s="11">
        <f>SUM('Model inputs'!W85,'Model inputs'!W86,'Model inputs'!W87)</f>
        <v>10692.545167240838</v>
      </c>
      <c r="X84" s="11">
        <f>SUM('Model inputs'!X85,'Model inputs'!X86,'Model inputs'!X87)</f>
        <v>11447.681031659677</v>
      </c>
      <c r="Y84" s="11">
        <f>SUM('Model inputs'!Y85,'Model inputs'!Y86,'Model inputs'!Y87)</f>
        <v>12233.958431117753</v>
      </c>
      <c r="Z84" s="11">
        <f>SUM('Model inputs'!Z85,'Model inputs'!Z86,'Model inputs'!Z87)</f>
        <v>13053.13290011248</v>
      </c>
      <c r="AA84" s="11">
        <f>SUM('Model inputs'!AA85,'Model inputs'!AA86,'Model inputs'!AA87)</f>
        <v>13907.041796133777</v>
      </c>
    </row>
    <row r="85" outlineLevel="1">
      <c r="A85" t="inlineStr" s="24">
        <is>
          <t xml:space="preserve">Subscription revenue &gt; Agency</t>
        </is>
      </c>
      <c r="B85" s="14">
        <f>'Model inputs'!B7*'Model inputs'!AC53</f>
        <v>0</v>
      </c>
      <c r="C85" s="14">
        <f>'Model inputs'!C7*'Model inputs'!AC53</f>
        <v>0</v>
      </c>
      <c r="D85" s="14">
        <f>'Model inputs'!D7*'Model inputs'!AC53</f>
        <v>149.5</v>
      </c>
      <c r="E85" s="14">
        <f>'Model inputs'!E7*'Model inputs'!AC53</f>
        <v>301.99</v>
      </c>
      <c r="F85" s="14">
        <f>'Model inputs'!F7*'Model inputs'!AC53</f>
        <v>457.75405</v>
      </c>
      <c r="G85" s="14">
        <f>'Model inputs'!G7*'Model inputs'!AC53</f>
        <v>617.086366</v>
      </c>
      <c r="H85" s="14">
        <f>'Model inputs'!H7*'Model inputs'!AC53</f>
        <v>780.2919593950002</v>
      </c>
      <c r="I85" s="14">
        <f>'Model inputs'!I7*'Model inputs'!AC53</f>
        <v>947.6872942069001</v>
      </c>
      <c r="J85" s="14">
        <f>'Model inputs'!J7*'Model inputs'!AC53</f>
        <v>1119.6009736541307</v>
      </c>
      <c r="K85" s="14">
        <f>'Model inputs'!K7*'Model inputs'!AC53</f>
        <v>1296.3744576316165</v>
      </c>
      <c r="L85" s="14">
        <f>'Model inputs'!L7*'Model inputs'!AC53</f>
        <v>1478.362812749133</v>
      </c>
      <c r="M85" s="14">
        <f>'Model inputs'!M7*'Model inputs'!AC53</f>
        <v>1665.9354966554472</v>
      </c>
      <c r="N85" s="14">
        <f>'Model inputs'!N7*'Model inputs'!AC53</f>
        <v>1859.4771784590114</v>
      </c>
      <c r="O85" s="14">
        <f>'Model inputs'!O7*'Model inputs'!AC53</f>
        <v>2059.3885971436302</v>
      </c>
      <c r="P85" s="14">
        <f>'Model inputs'!P7*'Model inputs'!AC53</f>
        <v>2266.08745996963</v>
      </c>
      <c r="Q85" s="14">
        <f>'Model inputs'!Q7*'Model inputs'!AC53</f>
        <v>2480.0093829478647</v>
      </c>
      <c r="R85" s="14">
        <f>'Model inputs'!R7*'Model inputs'!AC53</f>
        <v>2701.608875575619</v>
      </c>
      <c r="S85" s="14">
        <f>'Model inputs'!S7*'Model inputs'!AC53</f>
        <v>2931.3603721303502</v>
      </c>
      <c r="T85" s="14">
        <f>'Model inputs'!T7*'Model inputs'!AC53</f>
        <v>3169.7593119295398</v>
      </c>
      <c r="U85" s="14">
        <f>'Model inputs'!U7*'Model inputs'!AC53</f>
        <v>3417.3232710829084</v>
      </c>
      <c r="V85" s="14">
        <f>'Model inputs'!V7*'Model inputs'!AC53</f>
        <v>3674.593148387238</v>
      </c>
      <c r="W85" s="14">
        <f>'Model inputs'!W7*'Model inputs'!AC53</f>
        <v>3942.1344081442794</v>
      </c>
      <c r="X85" s="14">
        <f>'Model inputs'!X7*'Model inputs'!AC53</f>
        <v>4220.538382819042</v>
      </c>
      <c r="Y85" s="14">
        <f>'Model inputs'!Y7*'Model inputs'!AC53</f>
        <v>4510.423638599516</v>
      </c>
      <c r="Z85" s="14">
        <f>'Model inputs'!Z7*'Model inputs'!AC53</f>
        <v>4812.4374070698295</v>
      </c>
      <c r="AA85" s="14">
        <f>'Model inputs'!AA7*'Model inputs'!AC53</f>
        <v>5127.257086367447</v>
      </c>
    </row>
    <row r="86" outlineLevel="1">
      <c r="A86" t="inlineStr" s="24">
        <is>
          <t xml:space="preserve">Subscription revenue &gt; Developer</t>
        </is>
      </c>
      <c r="B86" s="14">
        <f>'Model inputs'!B8*'Model inputs'!AC54</f>
        <v>0</v>
      </c>
      <c r="C86" s="14">
        <f>'Model inputs'!C8*'Model inputs'!AC54</f>
        <v>0</v>
      </c>
      <c r="D86" s="14">
        <f>'Model inputs'!D8*'Model inputs'!AC54</f>
        <v>58</v>
      </c>
      <c r="E86" s="14">
        <f>'Model inputs'!E8*'Model inputs'!AC54</f>
        <v>117.16</v>
      </c>
      <c r="F86" s="14">
        <f>'Model inputs'!F8*'Model inputs'!AC54</f>
        <v>177.5902</v>
      </c>
      <c r="G86" s="14">
        <f>'Model inputs'!G8*'Model inputs'!AC54</f>
        <v>239.404744</v>
      </c>
      <c r="H86" s="14">
        <f>'Model inputs'!H8*'Model inputs'!AC54</f>
        <v>302.72196418000004</v>
      </c>
      <c r="I86" s="14">
        <f>'Model inputs'!I8*'Model inputs'!AC54</f>
        <v>367.66463587960004</v>
      </c>
      <c r="J86" s="14">
        <f>'Model inputs'!J8*'Model inputs'!AC54</f>
        <v>434.36024395946214</v>
      </c>
      <c r="K86" s="14">
        <f>'Model inputs'!K8*'Model inputs'!AC54</f>
        <v>502.9412611547408</v>
      </c>
      <c r="L86" s="14">
        <f>'Model inputs'!L8*'Model inputs'!AC54</f>
        <v>573.5454390598643</v>
      </c>
      <c r="M86" s="14">
        <f>'Model inputs'!M8*'Model inputs'!AC54</f>
        <v>646.3161124148223</v>
      </c>
      <c r="N86" s="14">
        <f>'Model inputs'!N8*'Model inputs'!AC54</f>
        <v>721.4025173954693</v>
      </c>
      <c r="O86" s="14">
        <f>'Model inputs'!O8*'Model inputs'!AC54</f>
        <v>798.9601246443515</v>
      </c>
      <c r="P86" s="14">
        <f>'Model inputs'!P8*'Model inputs'!AC54</f>
        <v>879.1509878143046</v>
      </c>
      <c r="Q86" s="14">
        <f>'Model inputs'!Q8*'Model inputs'!AC54</f>
        <v>962.144108434623</v>
      </c>
      <c r="R86" s="14">
        <f>'Model inputs'!R8*'Model inputs'!AC54</f>
        <v>1048.1158179490697</v>
      </c>
      <c r="S86" s="14">
        <f>'Model inputs'!S8*'Model inputs'!AC54</f>
        <v>1137.250177816457</v>
      </c>
      <c r="T86" s="14">
        <f>'Model inputs'!T8*'Model inputs'!AC54</f>
        <v>1229.7393986081158</v>
      </c>
      <c r="U86" s="14">
        <f>'Model inputs'!U8*'Model inputs'!AC54</f>
        <v>1325.7842790823322</v>
      </c>
      <c r="V86" s="14">
        <f>'Model inputs'!V8*'Model inputs'!AC54</f>
        <v>1425.5946662639453</v>
      </c>
      <c r="W86" s="14">
        <f>'Model inputs'!W8*'Model inputs'!AC54</f>
        <v>1529.389937607814</v>
      </c>
      <c r="X86" s="14">
        <f>'Model inputs'!X8*'Model inputs'!AC54</f>
        <v>1637.3995063779562</v>
      </c>
      <c r="Y86" s="14">
        <f>'Model inputs'!Y8*'Model inputs'!AC54</f>
        <v>1749.8633514299129</v>
      </c>
      <c r="Z86" s="14">
        <f>'Model inputs'!Z8*'Model inputs'!AC54</f>
        <v>1867.0325726424755</v>
      </c>
      <c r="AA86" s="14">
        <f>'Model inputs'!AA8*'Model inputs'!AC54</f>
        <v>1989.1699733064343</v>
      </c>
    </row>
    <row r="87" outlineLevel="1">
      <c r="A87" t="inlineStr" s="24">
        <is>
          <t xml:space="preserve">Subscription revenue &gt; Team</t>
        </is>
      </c>
      <c r="B87" s="14">
        <f>'Model inputs'!B9*'Model inputs'!AC55</f>
        <v>0</v>
      </c>
      <c r="C87" s="14">
        <f>'Model inputs'!C9*'Model inputs'!AC55</f>
        <v>0</v>
      </c>
      <c r="D87" s="14">
        <f>'Model inputs'!D9*'Model inputs'!AC55</f>
        <v>198</v>
      </c>
      <c r="E87" s="14">
        <f>'Model inputs'!E9*'Model inputs'!AC55</f>
        <v>399.96</v>
      </c>
      <c r="F87" s="14">
        <f>'Model inputs'!F9*'Model inputs'!AC55</f>
        <v>606.2562</v>
      </c>
      <c r="G87" s="14">
        <f>'Model inputs'!G9*'Model inputs'!AC55</f>
        <v>817.278264</v>
      </c>
      <c r="H87" s="14">
        <f>'Model inputs'!H9*'Model inputs'!AC55</f>
        <v>1033.4301535800003</v>
      </c>
      <c r="I87" s="14">
        <f>'Model inputs'!I9*'Model inputs'!AC55</f>
        <v>1255.1309983476</v>
      </c>
      <c r="J87" s="14">
        <f>'Model inputs'!J9*'Model inputs'!AC55</f>
        <v>1482.8160052409223</v>
      </c>
      <c r="K87" s="14">
        <f>'Model inputs'!K9*'Model inputs'!AC55</f>
        <v>1716.9374087696324</v>
      </c>
      <c r="L87" s="14">
        <f>'Model inputs'!L9*'Model inputs'!AC55</f>
        <v>1957.965464376778</v>
      </c>
      <c r="M87" s="14">
        <f>'Model inputs'!M9*'Model inputs'!AC55</f>
        <v>2206.389487209221</v>
      </c>
      <c r="N87" s="14">
        <f>'Model inputs'!N9*'Model inputs'!AC55</f>
        <v>2462.718938694878</v>
      </c>
      <c r="O87" s="14">
        <f>'Model inputs'!O9*'Model inputs'!AC55</f>
        <v>2727.484563441062</v>
      </c>
      <c r="P87" s="14">
        <f>'Model inputs'!P9*'Model inputs'!AC55</f>
        <v>3001.239579090212</v>
      </c>
      <c r="Q87" s="14">
        <f>'Model inputs'!Q9*'Model inputs'!AC55</f>
        <v>3284.5609218975064</v>
      </c>
      <c r="R87" s="14">
        <f>'Model inputs'!R9*'Model inputs'!AC55</f>
        <v>3578.0505509295826</v>
      </c>
      <c r="S87" s="14">
        <f>'Model inputs'!S9*'Model inputs'!AC55</f>
        <v>3882.336813925146</v>
      </c>
      <c r="T87" s="14">
        <f>'Model inputs'!T9*'Model inputs'!AC55</f>
        <v>4198.0758780070155</v>
      </c>
      <c r="U87" s="14">
        <f>'Model inputs'!U9*'Model inputs'!AC55</f>
        <v>4525.95322859141</v>
      </c>
      <c r="V87" s="14">
        <f>'Model inputs'!V9*'Model inputs'!AC55</f>
        <v>4866.685240004503</v>
      </c>
      <c r="W87" s="14">
        <f>'Model inputs'!W9*'Model inputs'!AC55</f>
        <v>5221.020821488744</v>
      </c>
      <c r="X87" s="14">
        <f>'Model inputs'!X9*'Model inputs'!AC55</f>
        <v>5589.743142462678</v>
      </c>
      <c r="Y87" s="14">
        <f>'Model inputs'!Y9*'Model inputs'!AC55</f>
        <v>5973.671441088323</v>
      </c>
      <c r="Z87" s="14">
        <f>'Model inputs'!Z9*'Model inputs'!AC55</f>
        <v>6373.662920400176</v>
      </c>
      <c r="AA87" s="14">
        <f>'Model inputs'!AA9*'Model inputs'!AC55</f>
        <v>6790.614736459896</v>
      </c>
    </row>
    <row r="88">
      <c r="A88" t="inlineStr" s="23">
        <is>
          <t xml:space="preserve">Subscription revenue</t>
        </is>
      </c>
      <c r="B88" s="11">
        <f>SUM('Model inputs'!B89,'Model inputs'!B90,'Model inputs'!B91)</f>
        <v>0</v>
      </c>
      <c r="C88" s="11">
        <f>SUM('Model inputs'!C89,'Model inputs'!C90,'Model inputs'!C91)</f>
        <v>0</v>
      </c>
      <c r="D88" s="11">
        <f>SUM('Model inputs'!D89,'Model inputs'!D90,'Model inputs'!D91)</f>
        <v>202.75</v>
      </c>
      <c r="E88" s="11">
        <f>SUM('Model inputs'!E89,'Model inputs'!E90,'Model inputs'!E91)</f>
        <v>395.36249999999995</v>
      </c>
      <c r="F88" s="11">
        <f>SUM('Model inputs'!F89,'Model inputs'!F90,'Model inputs'!F91)</f>
        <v>578.344375</v>
      </c>
      <c r="G88" s="11">
        <f>SUM('Model inputs'!G89,'Model inputs'!G90,'Model inputs'!G91)</f>
        <v>752.17715625</v>
      </c>
      <c r="H88" s="11">
        <f>SUM('Model inputs'!H89,'Model inputs'!H90,'Model inputs'!H91)</f>
        <v>917.3182984375001</v>
      </c>
      <c r="I88" s="11">
        <f>SUM('Model inputs'!I89,'Model inputs'!I90,'Model inputs'!I91)</f>
        <v>1074.2023835156251</v>
      </c>
      <c r="J88" s="11">
        <f>SUM('Model inputs'!J89,'Model inputs'!J90,'Model inputs'!J91)</f>
        <v>1223.2422643398438</v>
      </c>
      <c r="K88" s="11">
        <f>SUM('Model inputs'!K89,'Model inputs'!K90,'Model inputs'!K91)</f>
        <v>1364.8301511228515</v>
      </c>
      <c r="L88" s="11">
        <f>SUM('Model inputs'!L89,'Model inputs'!L90,'Model inputs'!L91)</f>
        <v>1499.338643566709</v>
      </c>
      <c r="M88" s="11">
        <f>SUM('Model inputs'!M89,'Model inputs'!M90,'Model inputs'!M91)</f>
        <v>1627.1217113883736</v>
      </c>
      <c r="N88" s="11">
        <f>SUM('Model inputs'!N89,'Model inputs'!N90,'Model inputs'!N91)</f>
        <v>1748.515625818955</v>
      </c>
      <c r="O88" s="11">
        <f>SUM('Model inputs'!O89,'Model inputs'!O90,'Model inputs'!O91)</f>
        <v>1863.8398445280072</v>
      </c>
      <c r="P88" s="11">
        <f>SUM('Model inputs'!P89,'Model inputs'!P90,'Model inputs'!P91)</f>
        <v>1973.397852301607</v>
      </c>
      <c r="Q88" s="11">
        <f>SUM('Model inputs'!Q89,'Model inputs'!Q90,'Model inputs'!Q91)</f>
        <v>2077.4779596865264</v>
      </c>
      <c r="R88" s="11">
        <f>SUM('Model inputs'!R89,'Model inputs'!R90,'Model inputs'!R91)</f>
        <v>2176.3540617022004</v>
      </c>
      <c r="S88" s="11">
        <f>SUM('Model inputs'!S89,'Model inputs'!S90,'Model inputs'!S91)</f>
        <v>2270.28635861709</v>
      </c>
      <c r="T88" s="11">
        <f>SUM('Model inputs'!T89,'Model inputs'!T90,'Model inputs'!T91)</f>
        <v>2359.522040686236</v>
      </c>
      <c r="U88" s="11">
        <f>SUM('Model inputs'!U89,'Model inputs'!U90,'Model inputs'!U91)</f>
        <v>2444.295938651924</v>
      </c>
      <c r="V88" s="11">
        <f>SUM('Model inputs'!V89,'Model inputs'!V90,'Model inputs'!V91)</f>
        <v>2524.8311417193277</v>
      </c>
      <c r="W88" s="11">
        <f>SUM('Model inputs'!W89,'Model inputs'!W90,'Model inputs'!W91)</f>
        <v>2601.3395846333615</v>
      </c>
      <c r="X88" s="11">
        <f>SUM('Model inputs'!X89,'Model inputs'!X90,'Model inputs'!X91)</f>
        <v>2674.022605401693</v>
      </c>
      <c r="Y88" s="11">
        <f>SUM('Model inputs'!Y89,'Model inputs'!Y90,'Model inputs'!Y91)</f>
        <v>2743.071475131609</v>
      </c>
      <c r="Z88" s="11">
        <f>SUM('Model inputs'!Z89,'Model inputs'!Z90,'Model inputs'!Z91)</f>
        <v>2808.6679013750286</v>
      </c>
      <c r="AA88" s="11">
        <f>SUM('Model inputs'!AA89,'Model inputs'!AA90,'Model inputs'!AA91)</f>
        <v>2870.9845063062767</v>
      </c>
    </row>
    <row r="89" outlineLevel="1">
      <c r="A89" t="inlineStr" s="24">
        <is>
          <t xml:space="preserve">Subscription revenue &gt; Agency</t>
        </is>
      </c>
      <c r="B89" s="14">
        <f>'Model inputs'!B11*'Model inputs'!AB216</f>
        <v>0</v>
      </c>
      <c r="C89" s="14">
        <f>'Model inputs'!C11*'Model inputs'!AB216</f>
        <v>0</v>
      </c>
      <c r="D89" s="14">
        <f>'Model inputs'!D11*'Model inputs'!AB216</f>
        <v>74.75</v>
      </c>
      <c r="E89" s="14">
        <f>'Model inputs'!E11*'Model inputs'!AB216</f>
        <v>145.7625</v>
      </c>
      <c r="F89" s="14">
        <f>'Model inputs'!F11*'Model inputs'!AB216</f>
        <v>213.224375</v>
      </c>
      <c r="G89" s="14">
        <f>'Model inputs'!G11*'Model inputs'!AB216</f>
        <v>277.31315625</v>
      </c>
      <c r="H89" s="14">
        <f>'Model inputs'!H11*'Model inputs'!AB216</f>
        <v>338.19749843750003</v>
      </c>
      <c r="I89" s="14">
        <f>'Model inputs'!I11*'Model inputs'!AB216</f>
        <v>396.037623515625</v>
      </c>
      <c r="J89" s="14">
        <f>'Model inputs'!J11*'Model inputs'!AB216</f>
        <v>450.98574233984374</v>
      </c>
      <c r="K89" s="14">
        <f>'Model inputs'!K11*'Model inputs'!AB216</f>
        <v>503.1864552228516</v>
      </c>
      <c r="L89" s="14">
        <f>'Model inputs'!L11*'Model inputs'!AB216</f>
        <v>552.777132461709</v>
      </c>
      <c r="M89" s="14">
        <f>'Model inputs'!M11*'Model inputs'!AB216</f>
        <v>599.8882758386236</v>
      </c>
      <c r="N89" s="14">
        <f>'Model inputs'!N11*'Model inputs'!AB216</f>
        <v>644.6438620466923</v>
      </c>
      <c r="O89" s="14">
        <f>'Model inputs'!O11*'Model inputs'!AB216</f>
        <v>687.1616689443578</v>
      </c>
      <c r="P89" s="14">
        <f>'Model inputs'!P11*'Model inputs'!AB216</f>
        <v>727.5535854971399</v>
      </c>
      <c r="Q89" s="14">
        <f>'Model inputs'!Q11*'Model inputs'!AB216</f>
        <v>765.925906222283</v>
      </c>
      <c r="R89" s="14">
        <f>'Model inputs'!R11*'Model inputs'!AB216</f>
        <v>802.3796109111688</v>
      </c>
      <c r="S89" s="14">
        <f>'Model inputs'!S11*'Model inputs'!AB216</f>
        <v>837.0106303656104</v>
      </c>
      <c r="T89" s="14">
        <f>'Model inputs'!T11*'Model inputs'!AB216</f>
        <v>869.9100988473299</v>
      </c>
      <c r="U89" s="14">
        <f>'Model inputs'!U11*'Model inputs'!AB216</f>
        <v>901.1645939049633</v>
      </c>
      <c r="V89" s="14">
        <f>'Model inputs'!V11*'Model inputs'!AB216</f>
        <v>930.8563642097151</v>
      </c>
      <c r="W89" s="14">
        <f>'Model inputs'!W11*'Model inputs'!AB216</f>
        <v>959.0635459992294</v>
      </c>
      <c r="X89" s="14">
        <f>'Model inputs'!X11*'Model inputs'!AB216</f>
        <v>985.860368699268</v>
      </c>
      <c r="Y89" s="14">
        <f>'Model inputs'!Y11*'Model inputs'!AB216</f>
        <v>1011.3173502643047</v>
      </c>
      <c r="Z89" s="14">
        <f>'Model inputs'!Z11*'Model inputs'!AB216</f>
        <v>1035.5014827510895</v>
      </c>
      <c r="AA89" s="14">
        <f>'Model inputs'!AA11*'Model inputs'!AB216</f>
        <v>1058.4764086135349</v>
      </c>
    </row>
    <row r="90" outlineLevel="1">
      <c r="A90" t="inlineStr" s="24">
        <is>
          <t xml:space="preserve">Subscription revenue &gt; Developer</t>
        </is>
      </c>
      <c r="B90" s="14">
        <f>'Model inputs'!B12*'Model inputs'!AB217</f>
        <v>0</v>
      </c>
      <c r="C90" s="14">
        <f>'Model inputs'!C12*'Model inputs'!AB217</f>
        <v>0</v>
      </c>
      <c r="D90" s="14">
        <f>'Model inputs'!D12*'Model inputs'!AB217</f>
        <v>29</v>
      </c>
      <c r="E90" s="14">
        <f>'Model inputs'!E12*'Model inputs'!AB217</f>
        <v>56.55</v>
      </c>
      <c r="F90" s="14">
        <f>'Model inputs'!F12*'Model inputs'!AB217</f>
        <v>82.7225</v>
      </c>
      <c r="G90" s="14">
        <f>'Model inputs'!G12*'Model inputs'!AB217</f>
        <v>107.586375</v>
      </c>
      <c r="H90" s="14">
        <f>'Model inputs'!H12*'Model inputs'!AB217</f>
        <v>131.20705625</v>
      </c>
      <c r="I90" s="14">
        <f>'Model inputs'!I12*'Model inputs'!AB217</f>
        <v>153.6467034375</v>
      </c>
      <c r="J90" s="14">
        <f>'Model inputs'!J12*'Model inputs'!AB217</f>
        <v>174.964368265625</v>
      </c>
      <c r="K90" s="14">
        <f>'Model inputs'!K12*'Model inputs'!AB217</f>
        <v>195.21614985234376</v>
      </c>
      <c r="L90" s="14">
        <f>'Model inputs'!L12*'Model inputs'!AB217</f>
        <v>214.45534235972656</v>
      </c>
      <c r="M90" s="14">
        <f>'Model inputs'!M12*'Model inputs'!AB217</f>
        <v>232.73257524174025</v>
      </c>
      <c r="N90" s="14">
        <f>'Model inputs'!N12*'Model inputs'!AB217</f>
        <v>250.09594647965324</v>
      </c>
      <c r="O90" s="14">
        <f>'Model inputs'!O12*'Model inputs'!AB217</f>
        <v>266.59114915567056</v>
      </c>
      <c r="P90" s="14">
        <f>'Model inputs'!P12*'Model inputs'!AB217</f>
        <v>282.26159169788707</v>
      </c>
      <c r="Q90" s="14">
        <f>'Model inputs'!Q12*'Model inputs'!AB217</f>
        <v>297.1485121129927</v>
      </c>
      <c r="R90" s="14">
        <f>'Model inputs'!R12*'Model inputs'!AB217</f>
        <v>311.2910865073431</v>
      </c>
      <c r="S90" s="14">
        <f>'Model inputs'!S12*'Model inputs'!AB217</f>
        <v>324.7265321819759</v>
      </c>
      <c r="T90" s="14">
        <f>'Model inputs'!T12*'Model inputs'!AB217</f>
        <v>337.49020557287713</v>
      </c>
      <c r="U90" s="14">
        <f>'Model inputs'!U12*'Model inputs'!AB217</f>
        <v>349.61569529423326</v>
      </c>
      <c r="V90" s="14">
        <f>'Model inputs'!V12*'Model inputs'!AB217</f>
        <v>361.13491052952156</v>
      </c>
      <c r="W90" s="14">
        <f>'Model inputs'!W12*'Model inputs'!AB217</f>
        <v>372.0781650030455</v>
      </c>
      <c r="X90" s="14">
        <f>'Model inputs'!X12*'Model inputs'!AB217</f>
        <v>382.47425675289327</v>
      </c>
      <c r="Y90" s="14">
        <f>'Model inputs'!Y12*'Model inputs'!AB217</f>
        <v>392.35054391524864</v>
      </c>
      <c r="Z90" s="14">
        <f>'Model inputs'!Z12*'Model inputs'!AB217</f>
        <v>401.7330167194862</v>
      </c>
      <c r="AA90" s="14">
        <f>'Model inputs'!AA12*'Model inputs'!AB217</f>
        <v>410.64636588351186</v>
      </c>
    </row>
    <row r="91" outlineLevel="1">
      <c r="A91" t="inlineStr" s="24">
        <is>
          <t xml:space="preserve">Subscription revenue &gt; Team</t>
        </is>
      </c>
      <c r="B91" s="14">
        <f>'Model inputs'!B13*'Model inputs'!AB218</f>
        <v>0</v>
      </c>
      <c r="C91" s="14">
        <f>'Model inputs'!C13*'Model inputs'!AB218</f>
        <v>0</v>
      </c>
      <c r="D91" s="14">
        <f>'Model inputs'!D13*'Model inputs'!AB218</f>
        <v>99</v>
      </c>
      <c r="E91" s="14">
        <f>'Model inputs'!E13*'Model inputs'!AB218</f>
        <v>193.04999999999998</v>
      </c>
      <c r="F91" s="14">
        <f>'Model inputs'!F13*'Model inputs'!AB218</f>
        <v>282.3975</v>
      </c>
      <c r="G91" s="14">
        <f>'Model inputs'!G13*'Model inputs'!AB218</f>
        <v>367.277625</v>
      </c>
      <c r="H91" s="14">
        <f>'Model inputs'!H13*'Model inputs'!AB218</f>
        <v>447.91374375000004</v>
      </c>
      <c r="I91" s="14">
        <f>'Model inputs'!I13*'Model inputs'!AB218</f>
        <v>524.5180565625</v>
      </c>
      <c r="J91" s="14">
        <f>'Model inputs'!J13*'Model inputs'!AB218</f>
        <v>597.292153734375</v>
      </c>
      <c r="K91" s="14">
        <f>'Model inputs'!K13*'Model inputs'!AB218</f>
        <v>666.4275460476563</v>
      </c>
      <c r="L91" s="14">
        <f>'Model inputs'!L13*'Model inputs'!AB218</f>
        <v>732.1061687452734</v>
      </c>
      <c r="M91" s="14">
        <f>'Model inputs'!M13*'Model inputs'!AB218</f>
        <v>794.5008603080098</v>
      </c>
      <c r="N91" s="14">
        <f>'Model inputs'!N13*'Model inputs'!AB218</f>
        <v>853.7758172926093</v>
      </c>
      <c r="O91" s="14">
        <f>'Model inputs'!O13*'Model inputs'!AB218</f>
        <v>910.0870264279788</v>
      </c>
      <c r="P91" s="14">
        <f>'Model inputs'!P13*'Model inputs'!AB218</f>
        <v>963.5826751065799</v>
      </c>
      <c r="Q91" s="14">
        <f>'Model inputs'!Q13*'Model inputs'!AB218</f>
        <v>1014.403541351251</v>
      </c>
      <c r="R91" s="14">
        <f>'Model inputs'!R13*'Model inputs'!AB218</f>
        <v>1062.6833642836884</v>
      </c>
      <c r="S91" s="14">
        <f>'Model inputs'!S13*'Model inputs'!AB218</f>
        <v>1108.549196069504</v>
      </c>
      <c r="T91" s="14">
        <f>'Model inputs'!T13*'Model inputs'!AB218</f>
        <v>1152.1217362660288</v>
      </c>
      <c r="U91" s="14">
        <f>'Model inputs'!U13*'Model inputs'!AB218</f>
        <v>1193.5156494527273</v>
      </c>
      <c r="V91" s="14">
        <f>'Model inputs'!V13*'Model inputs'!AB218</f>
        <v>1232.8398669800908</v>
      </c>
      <c r="W91" s="14">
        <f>'Model inputs'!W13*'Model inputs'!AB218</f>
        <v>1270.1978736310864</v>
      </c>
      <c r="X91" s="14">
        <f>'Model inputs'!X13*'Model inputs'!AB218</f>
        <v>1305.687979949532</v>
      </c>
      <c r="Y91" s="14">
        <f>'Model inputs'!Y13*'Model inputs'!AB218</f>
        <v>1339.4035809520556</v>
      </c>
      <c r="Z91" s="14">
        <f>'Model inputs'!Z13*'Model inputs'!AB218</f>
        <v>1371.433401904453</v>
      </c>
      <c r="AA91" s="14">
        <f>'Model inputs'!AA13*'Model inputs'!AB218</f>
        <v>1401.8617318092302</v>
      </c>
    </row>
    <row r="92">
      <c r="A92" t="inlineStr" s="23">
        <is>
          <t xml:space="preserve">Subscription revenue</t>
        </is>
      </c>
      <c r="B92" s="11">
        <f>SUM('Model inputs'!B93,'Model inputs'!B94,'Model inputs'!B95)</f>
        <v>0</v>
      </c>
      <c r="C92" s="11">
        <f>SUM('Model inputs'!C93,'Model inputs'!C94,'Model inputs'!C95)</f>
        <v>0</v>
      </c>
      <c r="D92" s="11">
        <f>SUM('Model inputs'!D93,'Model inputs'!D94,'Model inputs'!D95)</f>
        <v>712</v>
      </c>
      <c r="E92" s="11">
        <f>SUM('Model inputs'!E93,'Model inputs'!E94,'Model inputs'!E95)</f>
        <v>1466.7200000000003</v>
      </c>
      <c r="F92" s="11">
        <f>SUM('Model inputs'!F93,'Model inputs'!F94,'Model inputs'!F95)</f>
        <v>2267.8624</v>
      </c>
      <c r="G92" s="11">
        <f>SUM('Model inputs'!G93,'Model inputs'!G94,'Model inputs'!G95)</f>
        <v>3119.420096</v>
      </c>
      <c r="H92" s="11">
        <f>SUM('Model inputs'!H93,'Model inputs'!H94,'Model inputs'!H95)</f>
        <v>4025.6998336000006</v>
      </c>
      <c r="I92" s="11">
        <f>SUM('Model inputs'!I93,'Model inputs'!I94,'Model inputs'!I95)</f>
        <v>4991.347427609601</v>
      </c>
      <c r="J92" s="11">
        <f>SUM('Model inputs'!J93,'Model inputs'!J94,'Model inputs'!J95)</f>
        <v>6021.374996993538</v>
      </c>
      <c r="K92" s="11">
        <f>SUM('Model inputs'!K93,'Model inputs'!K94,'Model inputs'!K95)</f>
        <v>7121.190376424685</v>
      </c>
      <c r="L92" s="11">
        <f>SUM('Model inputs'!L93,'Model inputs'!L94,'Model inputs'!L95)</f>
        <v>8296.628878616892</v>
      </c>
      <c r="M92" s="11">
        <f>SUM('Model inputs'!M93,'Model inputs'!M94,'Model inputs'!M95)</f>
        <v>9553.987595542912</v>
      </c>
      <c r="N92" s="11">
        <f>SUM('Model inputs'!N93,'Model inputs'!N94,'Model inputs'!N95)</f>
        <v>10900.06244169028</v>
      </c>
      <c r="O92" s="11">
        <f>SUM('Model inputs'!O93,'Model inputs'!O94,'Model inputs'!O95)</f>
        <v>12342.188158759356</v>
      </c>
      <c r="P92" s="11">
        <f>SUM('Model inputs'!P93,'Model inputs'!P94,'Model inputs'!P95)</f>
        <v>13888.281518759284</v>
      </c>
      <c r="Q92" s="11">
        <f>SUM('Model inputs'!Q93,'Model inputs'!Q94,'Model inputs'!Q95)</f>
        <v>15546.88798141322</v>
      </c>
      <c r="R92" s="11">
        <f>SUM('Model inputs'!R93,'Model inputs'!R94,'Model inputs'!R95)</f>
        <v>17327.23208225641</v>
      </c>
      <c r="S92" s="11">
        <f>SUM('Model inputs'!S93,'Model inputs'!S94,'Model inputs'!S95)</f>
        <v>19239.271849920453</v>
      </c>
      <c r="T92" s="11">
        <f>SUM('Model inputs'!T93,'Model inputs'!T94,'Model inputs'!T95)</f>
        <v>21293.75757497595</v>
      </c>
      <c r="U92" s="11">
        <f>SUM('Model inputs'!U93,'Model inputs'!U94,'Model inputs'!U95)</f>
        <v>23502.295278494646</v>
      </c>
      <c r="V92" s="11">
        <f>SUM('Model inputs'!V93,'Model inputs'!V94,'Model inputs'!V95)</f>
        <v>25877.415256344426</v>
      </c>
      <c r="W92" s="11">
        <f>SUM('Model inputs'!W93,'Model inputs'!W94,'Model inputs'!W95)</f>
        <v>28432.64610531078</v>
      </c>
      <c r="X92" s="11">
        <f>SUM('Model inputs'!X93,'Model inputs'!X94,'Model inputs'!X95)</f>
        <v>31182.594669625276</v>
      </c>
      <c r="Y92" s="11">
        <f>SUM('Model inputs'!Y93,'Model inputs'!Y94,'Model inputs'!Y95)</f>
        <v>34143.03238156713</v>
      </c>
      <c r="Z92" s="11">
        <f>SUM('Model inputs'!Z93,'Model inputs'!Z94,'Model inputs'!Z95)</f>
        <v>37330.98850769691</v>
      </c>
      <c r="AA92" s="11">
        <f>SUM('Model inputs'!AA93,'Model inputs'!AA94,'Model inputs'!AA95)</f>
        <v>40764.850853204975</v>
      </c>
    </row>
    <row r="93" outlineLevel="1">
      <c r="A93" t="inlineStr" s="24">
        <is>
          <t xml:space="preserve">Subscription revenue &gt; Agency</t>
        </is>
      </c>
      <c r="B93" s="14">
        <f>'Model inputs'!B15*'Model inputs'!AB220</f>
        <v>0</v>
      </c>
      <c r="C93" s="14">
        <f>'Model inputs'!C15*'Model inputs'!AB220</f>
        <v>0</v>
      </c>
      <c r="D93" s="14">
        <f>'Model inputs'!D15*'Model inputs'!AB220</f>
        <v>299</v>
      </c>
      <c r="E93" s="14">
        <f>'Model inputs'!E15*'Model inputs'!AB220</f>
        <v>615.94</v>
      </c>
      <c r="F93" s="14">
        <f>'Model inputs'!F15*'Model inputs'!AB220</f>
        <v>952.3748</v>
      </c>
      <c r="G93" s="14">
        <f>'Model inputs'!G15*'Model inputs'!AB220</f>
        <v>1309.981192</v>
      </c>
      <c r="H93" s="14">
        <f>'Model inputs'!H15*'Model inputs'!AB220</f>
        <v>1690.5677672000002</v>
      </c>
      <c r="I93" s="14">
        <f>'Model inputs'!I15*'Model inputs'!AB220</f>
        <v>2096.0855068192004</v>
      </c>
      <c r="J93" s="14">
        <f>'Model inputs'!J15*'Model inputs'!AB220</f>
        <v>2528.6392192430726</v>
      </c>
      <c r="K93" s="14">
        <f>'Model inputs'!K15*'Model inputs'!AB220</f>
        <v>2990.4998912232877</v>
      </c>
      <c r="L93" s="14">
        <f>'Model inputs'!L15*'Model inputs'!AB220</f>
        <v>3484.118026273105</v>
      </c>
      <c r="M93" s="14">
        <f>'Model inputs'!M15*'Model inputs'!AB220</f>
        <v>4012.1380492518683</v>
      </c>
      <c r="N93" s="14">
        <f>'Model inputs'!N15*'Model inputs'!AB220</f>
        <v>4577.413862451394</v>
      </c>
      <c r="O93" s="14">
        <f>'Model inputs'!O15*'Model inputs'!AB220</f>
        <v>5183.025645321695</v>
      </c>
      <c r="P93" s="14">
        <f>'Model inputs'!P15*'Model inputs'!AB220</f>
        <v>5832.297997344137</v>
      </c>
      <c r="Q93" s="14">
        <f>'Model inputs'!Q15*'Model inputs'!AB220</f>
        <v>6528.819531520439</v>
      </c>
      <c r="R93" s="14">
        <f>'Model inputs'!R15*'Model inputs'!AB220</f>
        <v>7276.464034543071</v>
      </c>
      <c r="S93" s="14">
        <f>'Model inputs'!S15*'Model inputs'!AB220</f>
        <v>8079.413318997494</v>
      </c>
      <c r="T93" s="14">
        <f>'Model inputs'!T15*'Model inputs'!AB220</f>
        <v>8942.18190297445</v>
      </c>
      <c r="U93" s="14">
        <f>'Model inputs'!U15*'Model inputs'!AB220</f>
        <v>9869.64366330042</v>
      </c>
      <c r="V93" s="14">
        <f>'Model inputs'!V15*'Model inputs'!AB220</f>
        <v>10867.060620290706</v>
      </c>
      <c r="W93" s="14">
        <f>'Model inputs'!W15*'Model inputs'!AB220</f>
        <v>11940.11402456169</v>
      </c>
      <c r="X93" s="14">
        <f>'Model inputs'!X15*'Model inputs'!AB220</f>
        <v>13094.937930081398</v>
      </c>
      <c r="Y93" s="14">
        <f>'Model inputs'!Y15*'Model inputs'!AB220</f>
        <v>14338.15545237159</v>
      </c>
      <c r="Z93" s="14">
        <f>'Model inputs'!Z15*'Model inputs'!AB220</f>
        <v>15676.917926687322</v>
      </c>
      <c r="AA93" s="14">
        <f>'Model inputs'!AA15*'Model inputs'!AB220</f>
        <v>17118.947198185793</v>
      </c>
    </row>
    <row r="94" outlineLevel="1">
      <c r="A94" t="inlineStr" s="24">
        <is>
          <t xml:space="preserve">Subscription revenue &gt; Developer</t>
        </is>
      </c>
      <c r="B94" s="14">
        <f>'Model inputs'!B16*'Model inputs'!AB221</f>
        <v>0</v>
      </c>
      <c r="C94" s="14">
        <f>'Model inputs'!C16*'Model inputs'!AB221</f>
        <v>0</v>
      </c>
      <c r="D94" s="14">
        <f>'Model inputs'!D16*'Model inputs'!AB221</f>
        <v>116</v>
      </c>
      <c r="E94" s="14">
        <f>'Model inputs'!E16*'Model inputs'!AB221</f>
        <v>238.96</v>
      </c>
      <c r="F94" s="14">
        <f>'Model inputs'!F16*'Model inputs'!AB221</f>
        <v>369.4832</v>
      </c>
      <c r="G94" s="14">
        <f>'Model inputs'!G16*'Model inputs'!AB221</f>
        <v>508.220128</v>
      </c>
      <c r="H94" s="14">
        <f>'Model inputs'!H16*'Model inputs'!AB221</f>
        <v>655.8724448</v>
      </c>
      <c r="I94" s="14">
        <f>'Model inputs'!I16*'Model inputs'!AB221</f>
        <v>813.1970528128002</v>
      </c>
      <c r="J94" s="14">
        <f>'Model inputs'!J16*'Model inputs'!AB221</f>
        <v>981.0105332180482</v>
      </c>
      <c r="K94" s="14">
        <f>'Model inputs'!K16*'Model inputs'!AB221</f>
        <v>1160.1939377321116</v>
      </c>
      <c r="L94" s="14">
        <f>'Model inputs'!L16*'Model inputs'!AB221</f>
        <v>1351.6979633701678</v>
      </c>
      <c r="M94" s="14">
        <f>'Model inputs'!M16*'Model inputs'!AB221</f>
        <v>1556.5485408468787</v>
      </c>
      <c r="N94" s="14">
        <f>'Model inputs'!N16*'Model inputs'!AB221</f>
        <v>1775.8528697135846</v>
      </c>
      <c r="O94" s="14">
        <f>'Model inputs'!O16*'Model inputs'!AB221</f>
        <v>2010.8059359776476</v>
      </c>
      <c r="P94" s="14">
        <f>'Model inputs'!P16*'Model inputs'!AB221</f>
        <v>2262.697550809097</v>
      </c>
      <c r="Q94" s="14">
        <f>'Model inputs'!Q16*'Model inputs'!AB221</f>
        <v>2532.9199520279967</v>
      </c>
      <c r="R94" s="14">
        <f>'Model inputs'!R16*'Model inputs'!AB221</f>
        <v>2822.9760134013254</v>
      </c>
      <c r="S94" s="14">
        <f>'Model inputs'!S16*'Model inputs'!AB221</f>
        <v>3134.488110380298</v>
      </c>
      <c r="T94" s="14">
        <f>'Model inputs'!T16*'Model inputs'!AB221</f>
        <v>3469.207694799452</v>
      </c>
      <c r="U94" s="14">
        <f>'Model inputs'!U16*'Model inputs'!AB221</f>
        <v>3829.0256352603633</v>
      </c>
      <c r="V94" s="14">
        <f>'Model inputs'!V16*'Model inputs'!AB221</f>
        <v>4215.983384460608</v>
      </c>
      <c r="W94" s="14">
        <f>'Model inputs'!W16*'Model inputs'!AB221</f>
        <v>4632.285039629284</v>
      </c>
      <c r="X94" s="14">
        <f>'Model inputs'!X16*'Model inputs'!AB221</f>
        <v>5080.310367523219</v>
      </c>
      <c r="Y94" s="14">
        <f>'Model inputs'!Y16*'Model inputs'!AB221</f>
        <v>5562.628871154195</v>
      </c>
      <c r="Z94" s="14">
        <f>'Model inputs'!Z16*'Model inputs'!AB221</f>
        <v>6082.014981591068</v>
      </c>
      <c r="AA94" s="14">
        <f>'Model inputs'!AA16*'Model inputs'!AB221</f>
        <v>6641.464464848</v>
      </c>
    </row>
    <row r="95" outlineLevel="1">
      <c r="A95" t="inlineStr" s="24">
        <is>
          <t xml:space="preserve">Subscription revenue &gt; Team</t>
        </is>
      </c>
      <c r="B95" s="14">
        <f>'Model inputs'!B17*'Model inputs'!AB222</f>
        <v>0</v>
      </c>
      <c r="C95" s="14">
        <f>'Model inputs'!C17*'Model inputs'!AB222</f>
        <v>0</v>
      </c>
      <c r="D95" s="14">
        <f>'Model inputs'!D17*'Model inputs'!AB222</f>
        <v>297</v>
      </c>
      <c r="E95" s="14">
        <f>'Model inputs'!E17*'Model inputs'!AB222</f>
        <v>611.82</v>
      </c>
      <c r="F95" s="14">
        <f>'Model inputs'!F17*'Model inputs'!AB222</f>
        <v>946.0044000000001</v>
      </c>
      <c r="G95" s="14">
        <f>'Model inputs'!G17*'Model inputs'!AB222</f>
        <v>1301.2187760000002</v>
      </c>
      <c r="H95" s="14">
        <f>'Model inputs'!H17*'Model inputs'!AB222</f>
        <v>1679.2596216000004</v>
      </c>
      <c r="I95" s="14">
        <f>'Model inputs'!I17*'Model inputs'!AB222</f>
        <v>2082.0648679776004</v>
      </c>
      <c r="J95" s="14">
        <f>'Model inputs'!J17*'Model inputs'!AB222</f>
        <v>2511.725244532417</v>
      </c>
      <c r="K95" s="14">
        <f>'Model inputs'!K17*'Model inputs'!AB222</f>
        <v>2970.4965474692863</v>
      </c>
      <c r="L95" s="14">
        <f>'Model inputs'!L17*'Model inputs'!AB222</f>
        <v>3460.81288897362</v>
      </c>
      <c r="M95" s="14">
        <f>'Model inputs'!M17*'Model inputs'!AB222</f>
        <v>3985.3010054441647</v>
      </c>
      <c r="N95" s="14">
        <f>'Model inputs'!N17*'Model inputs'!AB222</f>
        <v>4546.7957095253</v>
      </c>
      <c r="O95" s="14">
        <f>'Model inputs'!O17*'Model inputs'!AB222</f>
        <v>5148.356577460014</v>
      </c>
      <c r="P95" s="14">
        <f>'Model inputs'!P17*'Model inputs'!AB222</f>
        <v>5793.28597060605</v>
      </c>
      <c r="Q95" s="14">
        <f>'Model inputs'!Q17*'Model inputs'!AB222</f>
        <v>6485.148497864784</v>
      </c>
      <c r="R95" s="14">
        <f>'Model inputs'!R17*'Model inputs'!AB222</f>
        <v>7227.792034312014</v>
      </c>
      <c r="S95" s="14">
        <f>'Model inputs'!S17*'Model inputs'!AB222</f>
        <v>8025.370420542661</v>
      </c>
      <c r="T95" s="14">
        <f>'Model inputs'!T17*'Model inputs'!AB222</f>
        <v>8882.367977202046</v>
      </c>
      <c r="U95" s="14">
        <f>'Model inputs'!U17*'Model inputs'!AB222</f>
        <v>9803.625979933862</v>
      </c>
      <c r="V95" s="14">
        <f>'Model inputs'!V17*'Model inputs'!AB222</f>
        <v>10794.371251593111</v>
      </c>
      <c r="W95" s="14">
        <f>'Model inputs'!W17*'Model inputs'!AB222</f>
        <v>11860.247041119808</v>
      </c>
      <c r="X95" s="14">
        <f>'Model inputs'!X17*'Model inputs'!AB222</f>
        <v>13007.346372020658</v>
      </c>
      <c r="Y95" s="14">
        <f>'Model inputs'!Y17*'Model inputs'!AB222</f>
        <v>14242.248058041348</v>
      </c>
      <c r="Z95" s="14">
        <f>'Model inputs'!Z17*'Model inputs'!AB222</f>
        <v>15572.055599418516</v>
      </c>
      <c r="AA95" s="14">
        <f>'Model inputs'!AA17*'Model inputs'!AB222</f>
        <v>17004.43919017118</v>
      </c>
    </row>
    <row r="96">
      <c r="A96" t="inlineStr" s="23">
        <is>
          <t xml:space="preserve">Support cost per hour · CheckoutGuard — Business plan · Pricing contribution by subscription — assumptions</t>
        </is>
      </c>
      <c r="AC96" s="9">
        <f>'CheckoutGuard — Assumptions · C'!B16</f>
        <v>30</v>
      </c>
    </row>
    <row r="97">
      <c r="A97" t="inlineStr" s="23">
        <is>
          <t xml:space="preserve">Support cost per hour · CheckoutGuard — Forecast · CheckoutGuard monthly forecast — assumptions</t>
        </is>
      </c>
      <c r="AB97" s="9">
        <f>'CheckoutGuard — Assumptions · C'!B16</f>
        <v>30</v>
      </c>
    </row>
    <row r="98">
      <c r="A98" t="inlineStr" s="23">
        <is>
          <t xml:space="preserve">Support minutes per workspace</t>
        </is>
      </c>
      <c r="AC98" s="6">
        <v>0</v>
      </c>
    </row>
    <row r="99" outlineLevel="1">
      <c r="A99" t="inlineStr" s="24">
        <is>
          <t xml:space="preserve">Support minutes per workspace &gt; Agency</t>
        </is>
      </c>
      <c r="AC99" s="9">
        <f>'CheckoutGuard — Assumptions · W'!E5</f>
        <v>60</v>
      </c>
    </row>
    <row r="100" outlineLevel="1">
      <c r="A100" t="inlineStr" s="24">
        <is>
          <t xml:space="preserve">Support minutes per workspace &gt; Developer</t>
        </is>
      </c>
      <c r="AC100" s="9">
        <f>'CheckoutGuard — Assumptions · W'!E6</f>
        <v>10</v>
      </c>
    </row>
    <row r="101" outlineLevel="1">
      <c r="A101" t="inlineStr" s="24">
        <is>
          <t xml:space="preserve">Support minutes per workspace &gt; Team</t>
        </is>
      </c>
      <c r="AC101" s="9">
        <f>'CheckoutGuard — Assumptions · W'!E7</f>
        <v>25</v>
      </c>
    </row>
    <row r="102">
      <c r="A102" t="inlineStr" s="23">
        <is>
          <t xml:space="preserve">Support minutes per workspace</t>
        </is>
      </c>
      <c r="AB102" s="6">
        <v>0</v>
      </c>
    </row>
    <row r="103" outlineLevel="1">
      <c r="A103" t="inlineStr" s="24">
        <is>
          <t xml:space="preserve">Support minutes per workspace &gt; Agency</t>
        </is>
      </c>
      <c r="AB103" s="9">
        <f>'CheckoutGuard — Assumptions · W'!E5</f>
        <v>60</v>
      </c>
    </row>
    <row r="104" outlineLevel="1">
      <c r="A104" t="inlineStr" s="24">
        <is>
          <t xml:space="preserve">Support minutes per workspace &gt; Developer</t>
        </is>
      </c>
      <c r="AB104" s="9">
        <f>'CheckoutGuard — Assumptions · W'!E6</f>
        <v>10</v>
      </c>
    </row>
    <row r="105" outlineLevel="1">
      <c r="A105" t="inlineStr" s="24">
        <is>
          <t xml:space="preserve">Support minutes per workspace &gt; Team</t>
        </is>
      </c>
      <c r="AB105" s="9">
        <f>'CheckoutGuard — Assumptions · W'!E7</f>
        <v>25</v>
      </c>
    </row>
    <row r="106">
      <c r="A106" t="inlineStr" s="23">
        <is>
          <t xml:space="preserve">Support stress factor</t>
        </is>
      </c>
      <c r="AB106" s="9">
        <f>'CheckoutGuard — Assumptions · S'!B10</f>
        <v>2</v>
      </c>
    </row>
    <row r="107">
      <c r="A107" t="inlineStr" s="23">
        <is>
          <t xml:space="preserve">Usage stress factor</t>
        </is>
      </c>
      <c r="AB107" s="9">
        <f>'CheckoutGuard — Assumptions · S'!B9</f>
        <v>2</v>
      </c>
    </row>
    <row r="108">
      <c r="A108" t="inlineStr" s="23">
        <is>
          <t xml:space="preserve">AI allowance per completed run · CheckoutGuard — Business plan · Pricing contribution by subscription — assumptions</t>
        </is>
      </c>
      <c r="AC108" s="10">
        <f>'Model inputs'!AC133*'Model inputs'!AC135*(1+'Model inputs'!AC131*'Model inputs'!AC138)</f>
        <v>0.0037856</v>
      </c>
    </row>
    <row r="109">
      <c r="A109" t="inlineStr" s="23">
        <is>
          <t xml:space="preserve">AI allowance per completed run · CheckoutGuard — Forecast · One-way operating sensitivity — assumptions</t>
        </is>
      </c>
      <c r="AB109" s="10">
        <f>'Model inputs'!AC133*'Model inputs'!AC135*(1+'Model inputs'!AC131*'Model inputs'!AC138)</f>
        <v>0.0037856</v>
      </c>
    </row>
    <row r="110">
      <c r="A110" t="inlineStr" s="23">
        <is>
          <t xml:space="preserve">Browser cost per completed run · CheckoutGuard — Business plan · Pricing contribution by subscription — assumptions</t>
        </is>
      </c>
      <c r="AC110" s="10">
        <f>'Model inputs'!AC129/3600*'Model inputs'!AC127*(1+'Model inputs'!AC131)</f>
        <v>0.0018</v>
      </c>
    </row>
    <row r="111">
      <c r="A111" t="inlineStr" s="23">
        <is>
          <t xml:space="preserve">Browser cost per completed run · CheckoutGuard — Forecast · One-way operating sensitivity — assumptions</t>
        </is>
      </c>
      <c r="AB111" s="10">
        <f>'Model inputs'!AC129/3600*'Model inputs'!AC127*(1+'Model inputs'!AC131)</f>
        <v>0.0018</v>
      </c>
    </row>
    <row r="112">
      <c r="A112" t="inlineStr" s="23">
        <is>
          <t xml:space="preserve">Database cost per run · CheckoutGuard — Business plan · Pricing contribution by subscription — assumptions</t>
        </is>
      </c>
      <c r="AC112" s="9">
        <f>'CheckoutGuard — Assumptions · C'!B12</f>
        <v>0.002</v>
      </c>
    </row>
    <row r="113">
      <c r="A113" t="inlineStr" s="23">
        <is>
          <t xml:space="preserve">Evidence cost per run · CheckoutGuard — Business plan · Pricing contribution by subscription — assumptions</t>
        </is>
      </c>
      <c r="AC113" s="9">
        <f>'CheckoutGuard — Assumptions · C'!B13</f>
        <v>0.001</v>
      </c>
    </row>
    <row r="114">
      <c r="A114" t="inlineStr" s="23">
        <is>
          <t xml:space="preserve">Fixed app hosting per month · CheckoutGuard — Assumptions · Cost per run and contribution economics — estimates</t>
        </is>
      </c>
      <c r="AC114" s="14">
        <f>'CheckoutGuard — Assumptions · C'!B20</f>
        <v>150</v>
      </c>
    </row>
    <row r="115">
      <c r="A115" t="inlineStr" s="23">
        <is>
          <t xml:space="preserve">Fixed database per month · CheckoutGuard — Assumptions · Cost per run and contribution economics — estimates</t>
        </is>
      </c>
      <c r="AC115" s="14">
        <f>'CheckoutGuard — Assumptions · C'!B21</f>
        <v>60</v>
      </c>
    </row>
    <row r="116">
      <c r="A116" t="inlineStr" s="23">
        <is>
          <t xml:space="preserve">Fixed telemetry per month · CheckoutGuard — Assumptions · Cost per run and contribution economics — estimates</t>
        </is>
      </c>
      <c r="AC116" s="14">
        <f>'CheckoutGuard — Assumptions · C'!B22</f>
        <v>30</v>
      </c>
    </row>
    <row r="117">
      <c r="A117" t="inlineStr" s="23">
        <is>
          <t xml:space="preserve">Founder compensation per month · CheckoutGuard — Assumptions · Cost per run and contribution economics — estimates</t>
        </is>
      </c>
      <c r="AC117" s="14">
        <f>'CheckoutGuard — Assumptions · C'!B24</f>
        <v>6000</v>
      </c>
    </row>
    <row r="118">
      <c r="A118" t="inlineStr" s="23">
        <is>
          <t xml:space="preserve">Other overhead per month · CheckoutGuard — Assumptions · Cost per run and contribution economics — estimates</t>
        </is>
      </c>
      <c r="AC118" s="14">
        <f>'CheckoutGuard — Assumptions · C'!B23</f>
        <v>60</v>
      </c>
    </row>
    <row r="119">
      <c r="A119" t="inlineStr" s="23">
        <is>
          <t xml:space="preserve">Payment processing rate · CheckoutGuard — Business plan · Pricing contribution by subscription — assumptions</t>
        </is>
      </c>
      <c r="AC119" s="18">
        <f>'CheckoutGuard — Assumptions · S'!B5</f>
        <v>0.03</v>
      </c>
    </row>
    <row r="120">
      <c r="A120" t="inlineStr" s="23">
        <is>
          <t xml:space="preserve">Payment processing rate · CheckoutGuard — Forecast · Payment cost estimates</t>
        </is>
      </c>
      <c r="AB120" s="18">
        <f>'CheckoutGuard — Assumptions · S'!B5</f>
        <v>0.03</v>
      </c>
    </row>
    <row r="121">
      <c r="A121" t="inlineStr" s="23">
        <is>
          <t xml:space="preserve">Payment transaction fee · CheckoutGuard — Business plan · Pricing contribution by subscription — assumptions</t>
        </is>
      </c>
      <c r="AC121" s="9">
        <f>'CheckoutGuard — Assumptions · S'!B6</f>
        <v>0.3</v>
      </c>
    </row>
    <row r="122">
      <c r="A122" t="inlineStr" s="23">
        <is>
          <t xml:space="preserve">Payment transaction fee · CheckoutGuard — Forecast · Payment cost estimates</t>
        </is>
      </c>
      <c r="AB122" s="9">
        <f>'CheckoutGuard — Assumptions · S'!B6</f>
        <v>0.3</v>
      </c>
    </row>
    <row r="123">
      <c r="A123" t="inlineStr" s="23">
        <is>
          <t xml:space="preserve">Sales budget per month · CheckoutGuard — Assumptions · Cost per run and contribution economics — estimates</t>
        </is>
      </c>
      <c r="AC123" s="14">
        <f>'CheckoutGuard — Assumptions · C'!B25</f>
        <v>500</v>
      </c>
    </row>
    <row r="124">
      <c r="A124" t="inlineStr" s="23">
        <is>
          <t xml:space="preserve">Support cost per run · CheckoutGuard — Business plan · Pricing contribution by subscription — assumptions</t>
        </is>
      </c>
      <c r="AC124" s="10">
        <f>'Model inputs'!AC137/60*'Model inputs'!AC96</f>
        <v>0.01</v>
      </c>
    </row>
    <row r="125">
      <c r="A125" t="inlineStr" s="23">
        <is>
          <t xml:space="preserve">Support cost per run · CheckoutGuard — Forecast · One-way operating sensitivity — assumptions</t>
        </is>
      </c>
      <c r="AB125" s="10">
        <f>'Model inputs'!AC137/60*'Model inputs'!AC96</f>
        <v>0.01</v>
      </c>
    </row>
    <row r="126">
      <c r="A126" t="inlineStr" s="23">
        <is>
          <t xml:space="preserve">Telemetry cost per run · CheckoutGuard — Business plan · Pricing contribution by subscription — assumptions</t>
        </is>
      </c>
      <c r="AC126" s="9">
        <f>'CheckoutGuard — Assumptions · C'!B14</f>
        <v>0.0005</v>
      </c>
    </row>
    <row r="127">
      <c r="A127" t="inlineStr" s="23">
        <is>
          <t xml:space="preserve">Browser cost per hour · CheckoutGuard — Business plan · Pricing contribution by subscription — assumptions</t>
        </is>
      </c>
      <c r="AC127" s="9">
        <f>'CheckoutGuard — Assumptions · C'!B11</f>
        <v>0.12</v>
      </c>
    </row>
    <row r="128">
      <c r="A128" t="inlineStr" s="23">
        <is>
          <t xml:space="preserve">Browser cost per hour · CheckoutGuard — Forecast · One-way operating sensitivity — assumptions</t>
        </is>
      </c>
      <c r="AB128" s="9">
        <f>'CheckoutGuard — Assumptions · C'!B11</f>
        <v>0.12</v>
      </c>
    </row>
    <row r="129">
      <c r="A129" t="inlineStr" s="23">
        <is>
          <t xml:space="preserve">Browser seconds per attempt · CheckoutGuard — Business plan · Pricing contribution by subscription — assumptions</t>
        </is>
      </c>
      <c r="AC129" s="9">
        <f>'CheckoutGuard — Assumptions · C'!B10</f>
        <v>45</v>
      </c>
    </row>
    <row r="130">
      <c r="A130" t="inlineStr" s="23">
        <is>
          <t xml:space="preserve">Browser seconds per attempt · CheckoutGuard — Forecast · One-way operating sensitivity — assumptions</t>
        </is>
      </c>
      <c r="AB130" s="9">
        <f>'CheckoutGuard — Assumptions · C'!B10</f>
        <v>45</v>
      </c>
    </row>
    <row r="131">
      <c r="A131" t="inlineStr" s="23">
        <is>
          <t xml:space="preserve">Extra attempt ratio · CheckoutGuard — Business plan · Pricing contribution by subscription — assumptions</t>
        </is>
      </c>
      <c r="AC131" s="9">
        <f>'CheckoutGuard — Assumptions · C'!B8</f>
        <v>0.2</v>
      </c>
    </row>
    <row r="132">
      <c r="A132" t="inlineStr" s="23">
        <is>
          <t xml:space="preserve">Extra attempt ratio · CheckoutGuard — Forecast · One-way operating sensitivity — assumptions</t>
        </is>
      </c>
      <c r="AB132" s="9">
        <f>'CheckoutGuard — Assumptions · C'!B8</f>
        <v>0.2</v>
      </c>
    </row>
    <row r="133">
      <c r="A133" t="inlineStr" s="23">
        <is>
          <t xml:space="preserve">Known token estimate per run · CheckoutGuard — Business plan · Pricing contribution by subscription — assumptions</t>
        </is>
      </c>
      <c r="AC133" s="10">
        <f>('Model inputs'!AC141*'Model inputs'!AC140+'Model inputs'!AC142*'Model inputs'!AC143)/1000000</f>
        <v>0.0031546666666666667</v>
      </c>
    </row>
    <row r="134">
      <c r="A134" t="inlineStr" s="23">
        <is>
          <t xml:space="preserve">Known token estimate per run · CheckoutGuard — Forecast · One-way operating sensitivity — assumptions</t>
        </is>
      </c>
      <c r="AB134" s="10">
        <f>('Model inputs'!AC141*'Model inputs'!AC140+'Model inputs'!AC142*'Model inputs'!AC143)/1000000</f>
        <v>0.0031546666666666667</v>
      </c>
    </row>
    <row r="135">
      <c r="A135" t="inlineStr" s="23">
        <is>
          <t xml:space="preserve">Provider cost multiplier · CheckoutGuard — Business plan · Pricing contribution by subscription — assumptions</t>
        </is>
      </c>
      <c r="AC135" s="9">
        <f>'CheckoutGuard — Assumptions · C'!B7</f>
        <v>1</v>
      </c>
    </row>
    <row r="136">
      <c r="A136" t="inlineStr" s="23">
        <is>
          <t xml:space="preserve">Provider cost multiplier · CheckoutGuard — Forecast · One-way operating sensitivity — assumptions</t>
        </is>
      </c>
      <c r="AB136" s="9">
        <f>'CheckoutGuard — Assumptions · C'!B7</f>
        <v>1</v>
      </c>
    </row>
    <row r="137">
      <c r="A137" t="inlineStr" s="23">
        <is>
          <t xml:space="preserve">Support minutes per run · CheckoutGuard — Business plan · Pricing contribution by subscription — assumptions</t>
        </is>
      </c>
      <c r="AC137" s="9">
        <f>'CheckoutGuard — Assumptions · C'!B15</f>
        <v>0.02</v>
      </c>
    </row>
    <row r="138">
      <c r="A138" t="inlineStr" s="23">
        <is>
          <t xml:space="preserve">Timeout token allowance ratio · CheckoutGuard — Business plan · Pricing contribution by subscription — assumptions</t>
        </is>
      </c>
      <c r="AC138" s="9">
        <f>'CheckoutGuard — Assumptions · C'!B9</f>
        <v>1</v>
      </c>
    </row>
    <row r="139">
      <c r="A139" t="inlineStr" s="23">
        <is>
          <t xml:space="preserve">Timeout token allowance ratio · CheckoutGuard — Forecast · One-way operating sensitivity — assumptions</t>
        </is>
      </c>
      <c r="AB139" s="9">
        <f>'CheckoutGuard — Assumptions · C'!B9</f>
        <v>1</v>
      </c>
    </row>
    <row r="140">
      <c r="A140" t="inlineStr" s="23">
        <is>
          <t xml:space="preserve">Input rate per million · CheckoutGuard — Business plan · User-supplied synthetic runtime observations</t>
        </is>
      </c>
      <c r="AC140" s="9">
        <f>'CheckoutGuard — Assumptions · C'!B5</f>
        <v>0.25</v>
      </c>
    </row>
    <row r="141">
      <c r="A141" t="inlineStr" s="23">
        <is>
          <t xml:space="preserve">Mean input tokens · CheckoutGuard — Business plan · Pricing contribution by subscription — assumptions</t>
        </is>
      </c>
      <c r="AC141" s="9">
        <f>AVERAGE('Model inputs'!AC145,'Model inputs'!AC146,'Model inputs'!AC147)</f>
        <v>12230</v>
      </c>
    </row>
    <row r="142">
      <c r="A142" t="inlineStr" s="23">
        <is>
          <t xml:space="preserve">Mean output tokens · CheckoutGuard — Business plan · Pricing contribution by subscription — assumptions</t>
        </is>
      </c>
      <c r="AC142" s="9">
        <f>AVERAGE('Model inputs'!AC149,'Model inputs'!AC150,'Model inputs'!AC151)</f>
        <v>194.33333333333334</v>
      </c>
    </row>
    <row r="143">
      <c r="A143" t="inlineStr" s="23">
        <is>
          <t xml:space="preserve">Output rate per million · CheckoutGuard — Business plan · User-supplied synthetic runtime observations</t>
        </is>
      </c>
      <c r="AC143" s="9">
        <f>'CheckoutGuard — Assumptions · C'!B6</f>
        <v>0.5</v>
      </c>
    </row>
    <row r="144">
      <c r="A144" t="inlineStr" s="23">
        <is>
          <t xml:space="preserve">Reported input tokens</t>
        </is>
      </c>
      <c r="AC144" s="6">
        <v>0</v>
      </c>
    </row>
    <row r="145" outlineLevel="1">
      <c r="A145" t="inlineStr" s="24">
        <is>
          <t xml:space="preserve">Reported input tokens &gt; Run 1</t>
        </is>
      </c>
      <c r="AC145" s="9">
        <f>'CheckoutGuard — Business plan ·'!B5</f>
        <v>12227</v>
      </c>
    </row>
    <row r="146" outlineLevel="1">
      <c r="A146" t="inlineStr" s="24">
        <is>
          <t xml:space="preserve">Reported input tokens &gt; Run 2</t>
        </is>
      </c>
      <c r="AC146" s="9">
        <f>'CheckoutGuard — Business plan ·'!B6</f>
        <v>12128</v>
      </c>
    </row>
    <row r="147" outlineLevel="1">
      <c r="A147" t="inlineStr" s="24">
        <is>
          <t xml:space="preserve">Reported input tokens &gt; Run 3</t>
        </is>
      </c>
      <c r="AC147" s="9">
        <f>'CheckoutGuard — Business plan ·'!B7</f>
        <v>12335</v>
      </c>
    </row>
    <row r="148">
      <c r="A148" t="inlineStr" s="23">
        <is>
          <t xml:space="preserve">Reported output tokens</t>
        </is>
      </c>
      <c r="AC148" s="6">
        <v>0</v>
      </c>
    </row>
    <row r="149" outlineLevel="1">
      <c r="A149" t="inlineStr" s="24">
        <is>
          <t xml:space="preserve">Reported output tokens &gt; Run 1</t>
        </is>
      </c>
      <c r="AC149" s="9">
        <f>'CheckoutGuard — Business plan ·'!C5</f>
        <v>202</v>
      </c>
    </row>
    <row r="150" outlineLevel="1">
      <c r="A150" t="inlineStr" s="24">
        <is>
          <t xml:space="preserve">Reported output tokens &gt; Run 2</t>
        </is>
      </c>
      <c r="AC150" s="9">
        <f>'CheckoutGuard — Business plan ·'!C6</f>
        <v>179</v>
      </c>
    </row>
    <row r="151" outlineLevel="1">
      <c r="A151" t="inlineStr" s="24">
        <is>
          <t xml:space="preserve">Reported output tokens &gt; Run 3</t>
        </is>
      </c>
      <c r="AC151" s="9">
        <f>'CheckoutGuard — Business plan ·'!C7</f>
        <v>202</v>
      </c>
    </row>
    <row r="152">
      <c r="A152" t="inlineStr" s="23">
        <is>
          <t xml:space="preserve">Workspace support costs</t>
        </is>
      </c>
      <c r="B152" s="11">
        <f>SUM('Model inputs'!B153,'Model inputs'!B154,'Model inputs'!B155)</f>
        <v>0</v>
      </c>
      <c r="C152" s="11">
        <f>SUM('Model inputs'!C153,'Model inputs'!C154,'Model inputs'!C155)</f>
        <v>0</v>
      </c>
      <c r="D152" s="11">
        <f>SUM('Model inputs'!D153,'Model inputs'!D154,'Model inputs'!D155)</f>
        <v>50</v>
      </c>
      <c r="E152" s="11">
        <f>SUM('Model inputs'!E153,'Model inputs'!E154,'Model inputs'!E155)</f>
        <v>101</v>
      </c>
      <c r="F152" s="11">
        <f>SUM('Model inputs'!F153,'Model inputs'!F154,'Model inputs'!F155)</f>
        <v>153.095</v>
      </c>
      <c r="G152" s="11">
        <f>SUM('Model inputs'!G153,'Model inputs'!G154,'Model inputs'!G155)</f>
        <v>206.3834</v>
      </c>
      <c r="H152" s="11">
        <f>SUM('Model inputs'!H153,'Model inputs'!H154,'Model inputs'!H155)</f>
        <v>260.9672105</v>
      </c>
      <c r="I152" s="11">
        <f>SUM('Model inputs'!I153,'Model inputs'!I154,'Model inputs'!I155)</f>
        <v>316.95227231</v>
      </c>
      <c r="J152" s="11">
        <f>SUM('Model inputs'!J153,'Model inputs'!J154,'Model inputs'!J155)</f>
        <v>374.4484861719501</v>
      </c>
      <c r="K152" s="11">
        <f>SUM('Model inputs'!K153,'Model inputs'!K154,'Model inputs'!K155)</f>
        <v>433.5700527196042</v>
      </c>
      <c r="L152" s="11">
        <f>SUM('Model inputs'!L153,'Model inputs'!L154,'Model inputs'!L155)</f>
        <v>494.4357233274692</v>
      </c>
      <c r="M152" s="11">
        <f>SUM('Model inputs'!M153,'Model inputs'!M154,'Model inputs'!M155)</f>
        <v>557.1690624265709</v>
      </c>
      <c r="N152" s="11">
        <f>SUM('Model inputs'!N153,'Model inputs'!N154,'Model inputs'!N155)</f>
        <v>621.898721892646</v>
      </c>
      <c r="O152" s="11">
        <f>SUM('Model inputs'!O153,'Model inputs'!O154,'Model inputs'!O155)</f>
        <v>688.7587281416824</v>
      </c>
      <c r="P152" s="11">
        <f>SUM('Model inputs'!P153,'Model inputs'!P154,'Model inputs'!P155)</f>
        <v>757.8887825985385</v>
      </c>
      <c r="Q152" s="11">
        <f>SUM('Model inputs'!Q153,'Model inputs'!Q154,'Model inputs'!Q155)</f>
        <v>829.434576236744</v>
      </c>
      <c r="R152" s="11">
        <f>SUM('Model inputs'!R153,'Model inputs'!R154,'Model inputs'!R155)</f>
        <v>903.5481189216116</v>
      </c>
      <c r="S152" s="11">
        <f>SUM('Model inputs'!S153,'Model inputs'!S154,'Model inputs'!S155)</f>
        <v>980.3880843245317</v>
      </c>
      <c r="T152" s="11">
        <f>SUM('Model inputs'!T153,'Model inputs'!T154,'Model inputs'!T155)</f>
        <v>1060.120171213893</v>
      </c>
      <c r="U152" s="11">
        <f>SUM('Model inputs'!U153,'Model inputs'!U154,'Model inputs'!U155)</f>
        <v>1142.917481967528</v>
      </c>
      <c r="V152" s="11">
        <f>SUM('Model inputs'!V153,'Model inputs'!V154,'Model inputs'!V155)</f>
        <v>1228.9609191930563</v>
      </c>
      <c r="W152" s="11">
        <f>SUM('Model inputs'!W153,'Model inputs'!W154,'Model inputs'!W155)</f>
        <v>1318.4396013860467</v>
      </c>
      <c r="X152" s="11">
        <f>SUM('Model inputs'!X153,'Model inputs'!X154,'Model inputs'!X155)</f>
        <v>1411.5512986016863</v>
      </c>
      <c r="Y152" s="11">
        <f>SUM('Model inputs'!Y153,'Model inputs'!Y154,'Model inputs'!Y155)</f>
        <v>1508.502889163718</v>
      </c>
      <c r="Z152" s="11">
        <f>SUM('Model inputs'!Z153,'Model inputs'!Z154,'Model inputs'!Z155)</f>
        <v>1609.5108384848927</v>
      </c>
      <c r="AA152" s="11">
        <f>SUM('Model inputs'!AA153,'Model inputs'!AA154,'Model inputs'!AA155)</f>
        <v>1714.8017011262364</v>
      </c>
    </row>
    <row r="153" outlineLevel="1">
      <c r="A153" t="inlineStr" s="24">
        <is>
          <t xml:space="preserve">Workspace support costs &gt; Agency</t>
        </is>
      </c>
      <c r="B153" s="14">
        <f>'Model inputs'!B7*'Model inputs'!AC99/60*'Model inputs'!AC96</f>
        <v>0</v>
      </c>
      <c r="C153" s="14">
        <f>'Model inputs'!C7*'Model inputs'!AC99/60*'Model inputs'!AC96</f>
        <v>0</v>
      </c>
      <c r="D153" s="14">
        <f>'Model inputs'!D7*'Model inputs'!AC99/60*'Model inputs'!AC96</f>
        <v>15</v>
      </c>
      <c r="E153" s="14">
        <f>'Model inputs'!E7*'Model inputs'!AC99/60*'Model inputs'!AC96</f>
        <v>30.3</v>
      </c>
      <c r="F153" s="14">
        <f>'Model inputs'!F7*'Model inputs'!AC99/60*'Model inputs'!AC96</f>
        <v>45.9285</v>
      </c>
      <c r="G153" s="14">
        <f>'Model inputs'!G7*'Model inputs'!AC99/60*'Model inputs'!AC96</f>
        <v>61.91502</v>
      </c>
      <c r="H153" s="14">
        <f>'Model inputs'!H7*'Model inputs'!AC99/60*'Model inputs'!AC96</f>
        <v>78.29016315000001</v>
      </c>
      <c r="I153" s="14">
        <f>'Model inputs'!I7*'Model inputs'!AC99/60*'Model inputs'!AC96</f>
        <v>95.08568169300001</v>
      </c>
      <c r="J153" s="14">
        <f>'Model inputs'!J7*'Model inputs'!AC99/60*'Model inputs'!AC96</f>
        <v>112.33454585158503</v>
      </c>
      <c r="K153" s="14">
        <f>'Model inputs'!K7*'Model inputs'!AC99/60*'Model inputs'!AC96</f>
        <v>130.07101581588125</v>
      </c>
      <c r="L153" s="14">
        <f>'Model inputs'!L7*'Model inputs'!AC99/60*'Model inputs'!AC96</f>
        <v>148.33071699824077</v>
      </c>
      <c r="M153" s="14">
        <f>'Model inputs'!M7*'Model inputs'!AC99/60*'Model inputs'!AC96</f>
        <v>167.15071872797128</v>
      </c>
      <c r="N153" s="14">
        <f>'Model inputs'!N7*'Model inputs'!AC99/60*'Model inputs'!AC96</f>
        <v>186.5696165677938</v>
      </c>
      <c r="O153" s="14">
        <f>'Model inputs'!O7*'Model inputs'!AC99/60*'Model inputs'!AC96</f>
        <v>206.62761844250468</v>
      </c>
      <c r="P153" s="14">
        <f>'Model inputs'!P7*'Model inputs'!AC99/60*'Model inputs'!AC96</f>
        <v>227.36663477956148</v>
      </c>
      <c r="Q153" s="14">
        <f>'Model inputs'!Q7*'Model inputs'!AC99/60*'Model inputs'!AC96</f>
        <v>248.8303728710232</v>
      </c>
      <c r="R153" s="14">
        <f>'Model inputs'!R7*'Model inputs'!AC99/60*'Model inputs'!AC96</f>
        <v>271.0644356764835</v>
      </c>
      <c r="S153" s="14">
        <f>'Model inputs'!S7*'Model inputs'!AC99/60*'Model inputs'!AC96</f>
        <v>294.11642529735957</v>
      </c>
      <c r="T153" s="14">
        <f>'Model inputs'!T7*'Model inputs'!AC99/60*'Model inputs'!AC96</f>
        <v>318.03605136416786</v>
      </c>
      <c r="U153" s="14">
        <f>'Model inputs'!U7*'Model inputs'!AC99/60*'Model inputs'!AC96</f>
        <v>342.8752445902584</v>
      </c>
      <c r="V153" s="14">
        <f>'Model inputs'!V7*'Model inputs'!AC99/60*'Model inputs'!AC96</f>
        <v>368.68827575791687</v>
      </c>
      <c r="W153" s="14">
        <f>'Model inputs'!W7*'Model inputs'!AC99/60*'Model inputs'!AC96</f>
        <v>395.531880415814</v>
      </c>
      <c r="X153" s="14">
        <f>'Model inputs'!X7*'Model inputs'!AC99/60*'Model inputs'!AC96</f>
        <v>423.4653895805059</v>
      </c>
      <c r="Y153" s="14">
        <f>'Model inputs'!Y7*'Model inputs'!AC99/60*'Model inputs'!AC96</f>
        <v>452.55086674911536</v>
      </c>
      <c r="Z153" s="14">
        <f>'Model inputs'!Z7*'Model inputs'!AC99/60*'Model inputs'!AC96</f>
        <v>482.85325154546786</v>
      </c>
      <c r="AA153" s="14">
        <f>'Model inputs'!AA7*'Model inputs'!AC99/60*'Model inputs'!AC96</f>
        <v>514.4405103378709</v>
      </c>
    </row>
    <row r="154" outlineLevel="1">
      <c r="A154" t="inlineStr" s="24">
        <is>
          <t xml:space="preserve">Workspace support costs &gt; Developer</t>
        </is>
      </c>
      <c r="B154" s="14">
        <f>'Model inputs'!B8*'Model inputs'!AC100/60*'Model inputs'!AC96</f>
        <v>0</v>
      </c>
      <c r="C154" s="14">
        <f>'Model inputs'!C8*'Model inputs'!AC100/60*'Model inputs'!AC96</f>
        <v>0</v>
      </c>
      <c r="D154" s="14">
        <f>'Model inputs'!D8*'Model inputs'!AC100/60*'Model inputs'!AC96</f>
        <v>10</v>
      </c>
      <c r="E154" s="14">
        <f>'Model inputs'!E8*'Model inputs'!AC100/60*'Model inputs'!AC96</f>
        <v>20.2</v>
      </c>
      <c r="F154" s="14">
        <f>'Model inputs'!F8*'Model inputs'!AC100/60*'Model inputs'!AC96</f>
        <v>30.619</v>
      </c>
      <c r="G154" s="14">
        <f>'Model inputs'!G8*'Model inputs'!AC100/60*'Model inputs'!AC96</f>
        <v>41.27668</v>
      </c>
      <c r="H154" s="14">
        <f>'Model inputs'!H8*'Model inputs'!AC100/60*'Model inputs'!AC96</f>
        <v>52.19344210000001</v>
      </c>
      <c r="I154" s="14">
        <f>'Model inputs'!I8*'Model inputs'!AC100/60*'Model inputs'!AC96</f>
        <v>63.39045446200001</v>
      </c>
      <c r="J154" s="14">
        <f>'Model inputs'!J8*'Model inputs'!AC100/60*'Model inputs'!AC96</f>
        <v>74.88969723439001</v>
      </c>
      <c r="K154" s="14">
        <f>'Model inputs'!K8*'Model inputs'!AC100/60*'Model inputs'!AC96</f>
        <v>86.71401054392084</v>
      </c>
      <c r="L154" s="14">
        <f>'Model inputs'!L8*'Model inputs'!AC100/60*'Model inputs'!AC96</f>
        <v>98.88714466549385</v>
      </c>
      <c r="M154" s="14">
        <f>'Model inputs'!M8*'Model inputs'!AC100/60*'Model inputs'!AC96</f>
        <v>111.43381248531419</v>
      </c>
      <c r="N154" s="14">
        <f>'Model inputs'!N8*'Model inputs'!AC100/60*'Model inputs'!AC96</f>
        <v>124.37974437852918</v>
      </c>
      <c r="O154" s="14">
        <f>'Model inputs'!O8*'Model inputs'!AC100/60*'Model inputs'!AC96</f>
        <v>137.75174562833647</v>
      </c>
      <c r="P154" s="14">
        <f>'Model inputs'!P8*'Model inputs'!AC100/60*'Model inputs'!AC96</f>
        <v>151.5777565197077</v>
      </c>
      <c r="Q154" s="14">
        <f>'Model inputs'!Q8*'Model inputs'!AC100/60*'Model inputs'!AC96</f>
        <v>165.8869152473488</v>
      </c>
      <c r="R154" s="14">
        <f>'Model inputs'!R8*'Model inputs'!AC100/60*'Model inputs'!AC96</f>
        <v>180.70962378432233</v>
      </c>
      <c r="S154" s="14">
        <f>'Model inputs'!S8*'Model inputs'!AC100/60*'Model inputs'!AC96</f>
        <v>196.07761686490636</v>
      </c>
      <c r="T154" s="14">
        <f>'Model inputs'!T8*'Model inputs'!AC100/60*'Model inputs'!AC96</f>
        <v>212.02403424277858</v>
      </c>
      <c r="U154" s="14">
        <f>'Model inputs'!U8*'Model inputs'!AC100/60*'Model inputs'!AC96</f>
        <v>228.58349639350558</v>
      </c>
      <c r="V154" s="14">
        <f>'Model inputs'!V8*'Model inputs'!AC100/60*'Model inputs'!AC96</f>
        <v>245.79218383861127</v>
      </c>
      <c r="W154" s="14">
        <f>'Model inputs'!W8*'Model inputs'!AC100/60*'Model inputs'!AC96</f>
        <v>263.68792027720934</v>
      </c>
      <c r="X154" s="14">
        <f>'Model inputs'!X8*'Model inputs'!AC100/60*'Model inputs'!AC96</f>
        <v>282.3102597203373</v>
      </c>
      <c r="Y154" s="14">
        <f>'Model inputs'!Y8*'Model inputs'!AC100/60*'Model inputs'!AC96</f>
        <v>301.7005778327436</v>
      </c>
      <c r="Z154" s="14">
        <f>'Model inputs'!Z8*'Model inputs'!AC100/60*'Model inputs'!AC96</f>
        <v>321.90216769697855</v>
      </c>
      <c r="AA154" s="14">
        <f>'Model inputs'!AA8*'Model inputs'!AC100/60*'Model inputs'!AC96</f>
        <v>342.9603402252473</v>
      </c>
    </row>
    <row r="155" outlineLevel="1">
      <c r="A155" t="inlineStr" s="24">
        <is>
          <t xml:space="preserve">Workspace support costs &gt; Team</t>
        </is>
      </c>
      <c r="B155" s="14">
        <f>'Model inputs'!B9*'Model inputs'!AC101/60*'Model inputs'!AC96</f>
        <v>0</v>
      </c>
      <c r="C155" s="14">
        <f>'Model inputs'!C9*'Model inputs'!AC101/60*'Model inputs'!AC96</f>
        <v>0</v>
      </c>
      <c r="D155" s="14">
        <f>'Model inputs'!D9*'Model inputs'!AC101/60*'Model inputs'!AC96</f>
        <v>25</v>
      </c>
      <c r="E155" s="14">
        <f>'Model inputs'!E9*'Model inputs'!AC101/60*'Model inputs'!AC96</f>
        <v>50.5</v>
      </c>
      <c r="F155" s="14">
        <f>'Model inputs'!F9*'Model inputs'!AC101/60*'Model inputs'!AC96</f>
        <v>76.5475</v>
      </c>
      <c r="G155" s="14">
        <f>'Model inputs'!G9*'Model inputs'!AC101/60*'Model inputs'!AC96</f>
        <v>103.1917</v>
      </c>
      <c r="H155" s="14">
        <f>'Model inputs'!H9*'Model inputs'!AC101/60*'Model inputs'!AC96</f>
        <v>130.48360524999998</v>
      </c>
      <c r="I155" s="14">
        <f>'Model inputs'!I9*'Model inputs'!AC101/60*'Model inputs'!AC96</f>
        <v>158.476136155</v>
      </c>
      <c r="J155" s="14">
        <f>'Model inputs'!J9*'Model inputs'!AC101/60*'Model inputs'!AC96</f>
        <v>187.22424308597505</v>
      </c>
      <c r="K155" s="14">
        <f>'Model inputs'!K9*'Model inputs'!AC101/60*'Model inputs'!AC96</f>
        <v>216.7850263598021</v>
      </c>
      <c r="L155" s="14">
        <f>'Model inputs'!L9*'Model inputs'!AC101/60*'Model inputs'!AC96</f>
        <v>247.2178616637346</v>
      </c>
      <c r="M155" s="14">
        <f>'Model inputs'!M9*'Model inputs'!AC101/60*'Model inputs'!AC96</f>
        <v>278.58453121328546</v>
      </c>
      <c r="N155" s="14">
        <f>'Model inputs'!N9*'Model inputs'!AC101/60*'Model inputs'!AC96</f>
        <v>310.949360946323</v>
      </c>
      <c r="O155" s="14">
        <f>'Model inputs'!O9*'Model inputs'!AC101/60*'Model inputs'!AC96</f>
        <v>344.3793640708412</v>
      </c>
      <c r="P155" s="14">
        <f>'Model inputs'!P9*'Model inputs'!AC101/60*'Model inputs'!AC96</f>
        <v>378.9443912992692</v>
      </c>
      <c r="Q155" s="14">
        <f>'Model inputs'!Q9*'Model inputs'!AC101/60*'Model inputs'!AC96</f>
        <v>414.717288118372</v>
      </c>
      <c r="R155" s="14">
        <f>'Model inputs'!R9*'Model inputs'!AC101/60*'Model inputs'!AC96</f>
        <v>451.7740594608058</v>
      </c>
      <c r="S155" s="14">
        <f>'Model inputs'!S9*'Model inputs'!AC101/60*'Model inputs'!AC96</f>
        <v>490.1940421622659</v>
      </c>
      <c r="T155" s="14">
        <f>'Model inputs'!T9*'Model inputs'!AC101/60*'Model inputs'!AC96</f>
        <v>530.0600856069465</v>
      </c>
      <c r="U155" s="14">
        <f>'Model inputs'!U9*'Model inputs'!AC101/60*'Model inputs'!AC96</f>
        <v>571.458740983764</v>
      </c>
      <c r="V155" s="14">
        <f>'Model inputs'!V9*'Model inputs'!AC101/60*'Model inputs'!AC96</f>
        <v>614.4804595965281</v>
      </c>
      <c r="W155" s="14">
        <f>'Model inputs'!W9*'Model inputs'!AC101/60*'Model inputs'!AC96</f>
        <v>659.2198006930233</v>
      </c>
      <c r="X155" s="14">
        <f>'Model inputs'!X9*'Model inputs'!AC101/60*'Model inputs'!AC96</f>
        <v>705.7756493008432</v>
      </c>
      <c r="Y155" s="14">
        <f>'Model inputs'!Y9*'Model inputs'!AC101/60*'Model inputs'!AC96</f>
        <v>754.251444581859</v>
      </c>
      <c r="Z155" s="14">
        <f>'Model inputs'!Z9*'Model inputs'!AC101/60*'Model inputs'!AC96</f>
        <v>804.7554192424464</v>
      </c>
      <c r="AA155" s="14">
        <f>'Model inputs'!AA9*'Model inputs'!AC101/60*'Model inputs'!AC96</f>
        <v>857.4008505631182</v>
      </c>
    </row>
    <row r="156">
      <c r="A156" t="inlineStr" s="23">
        <is>
          <t xml:space="preserve">Run delivery costs</t>
        </is>
      </c>
      <c r="B156" s="11">
        <f>SUM('Model inputs'!B157,'Model inputs'!B158,'Model inputs'!B159)</f>
        <v>0</v>
      </c>
      <c r="C156" s="11">
        <f>SUM('Model inputs'!C157,'Model inputs'!C158,'Model inputs'!C159)</f>
        <v>0</v>
      </c>
      <c r="D156" s="11">
        <f>SUM('Model inputs'!D157,'Model inputs'!D158,'Model inputs'!D159)</f>
        <v>20.99416</v>
      </c>
      <c r="E156" s="11">
        <f>SUM('Model inputs'!E157,'Model inputs'!E158,'Model inputs'!E159)</f>
        <v>42.4082032</v>
      </c>
      <c r="F156" s="11">
        <f>SUM('Model inputs'!F157,'Model inputs'!F158,'Model inputs'!F159)</f>
        <v>64.282018504</v>
      </c>
      <c r="G156" s="11">
        <f>SUM('Model inputs'!G157,'Model inputs'!G158,'Model inputs'!G159)</f>
        <v>86.65692241887999</v>
      </c>
      <c r="H156" s="11">
        <f>SUM('Model inputs'!H157,'Model inputs'!H158,'Model inputs'!H159)</f>
        <v>109.57574743981363</v>
      </c>
      <c r="I156" s="11">
        <f>SUM('Model inputs'!I157,'Model inputs'!I158,'Model inputs'!I159)</f>
        <v>133.0829343447942</v>
      </c>
      <c r="J156" s="11">
        <f>SUM('Model inputs'!J157,'Model inputs'!J158,'Model inputs'!J159)</f>
        <v>157.22462860903417</v>
      </c>
      <c r="K156" s="11">
        <f>SUM('Model inputs'!K157,'Model inputs'!K158,'Model inputs'!K159)</f>
        <v>182.0487811600761</v>
      </c>
      <c r="L156" s="11">
        <f>SUM('Model inputs'!L157,'Model inputs'!L158,'Model inputs'!L159)</f>
        <v>207.6052537050524</v>
      </c>
      <c r="M156" s="11">
        <f>SUM('Model inputs'!M157,'Model inputs'!M158,'Model inputs'!M159)</f>
        <v>233.9459288726684</v>
      </c>
      <c r="N156" s="11">
        <f>SUM('Model inputs'!N157,'Model inputs'!N158,'Model inputs'!N159)</f>
        <v>261.1248254241943</v>
      </c>
      <c r="O156" s="11">
        <f>SUM('Model inputs'!O157,'Model inputs'!O158,'Model inputs'!O159)</f>
        <v>289.19821880005964</v>
      </c>
      <c r="P156" s="11">
        <f>SUM('Model inputs'!P157,'Model inputs'!P158,'Model inputs'!P159)</f>
        <v>318.2247672815786</v>
      </c>
      <c r="Q156" s="11">
        <f>SUM('Model inputs'!Q157,'Model inputs'!Q158,'Model inputs'!Q159)</f>
        <v>348.265644060928</v>
      </c>
      <c r="R156" s="11">
        <f>SUM('Model inputs'!R157,'Model inputs'!R158,'Model inputs'!R159)</f>
        <v>379.38467552678696</v>
      </c>
      <c r="S156" s="11">
        <f>SUM('Model inputs'!S157,'Model inputs'!S158,'Model inputs'!S159)</f>
        <v>411.64848608805426</v>
      </c>
      <c r="T156" s="11">
        <f>SUM('Model inputs'!T157,'Model inputs'!T158,'Model inputs'!T159)</f>
        <v>445.1266498738373</v>
      </c>
      <c r="U156" s="11">
        <f>SUM('Model inputs'!U157,'Model inputs'!U158,'Model inputs'!U159)</f>
        <v>479.8918496644679</v>
      </c>
      <c r="V156" s="11">
        <f>SUM('Model inputs'!V157,'Model inputs'!V158,'Model inputs'!V159)</f>
        <v>516.020043425722</v>
      </c>
      <c r="W156" s="11">
        <f>SUM('Model inputs'!W157,'Model inputs'!W158,'Model inputs'!W159)</f>
        <v>553.5906388366977</v>
      </c>
      <c r="X156" s="11">
        <f>SUM('Model inputs'!X157,'Model inputs'!X158,'Model inputs'!X159)</f>
        <v>592.6866762210316</v>
      </c>
      <c r="Y156" s="11">
        <f>SUM('Model inputs'!Y157,'Model inputs'!Y158,'Model inputs'!Y159)</f>
        <v>633.3950203113072</v>
      </c>
      <c r="Z156" s="11">
        <f>SUM('Model inputs'!Z157,'Model inputs'!Z158,'Model inputs'!Z159)</f>
        <v>675.8065612977199</v>
      </c>
      <c r="AA156" s="11">
        <f>SUM('Model inputs'!AA157,'Model inputs'!AA158,'Model inputs'!AA159)</f>
        <v>720.0164256343278</v>
      </c>
    </row>
    <row r="157" outlineLevel="1">
      <c r="A157" t="inlineStr" s="24">
        <is>
          <t xml:space="preserve">Run delivery costs &gt; Agency</t>
        </is>
      </c>
      <c r="B157" s="14">
        <f>'Model inputs'!B185*'Model inputs'!AC34</f>
        <v>0</v>
      </c>
      <c r="C157" s="14">
        <f>'Model inputs'!C165*'Model inputs'!AC34</f>
        <v>0</v>
      </c>
      <c r="D157" s="14">
        <f>'Model inputs'!D165*'Model inputs'!AC34</f>
        <v>9.5428</v>
      </c>
      <c r="E157" s="14">
        <f>'Model inputs'!E165*'Model inputs'!AC34</f>
        <v>19.276456</v>
      </c>
      <c r="F157" s="14">
        <f>'Model inputs'!F165*'Model inputs'!AC34</f>
        <v>29.21909932</v>
      </c>
      <c r="G157" s="14">
        <f>'Model inputs'!G165*'Model inputs'!AC34</f>
        <v>39.389510190399996</v>
      </c>
      <c r="H157" s="14">
        <f>'Model inputs'!H165*'Model inputs'!AC34</f>
        <v>49.807157927188015</v>
      </c>
      <c r="I157" s="14">
        <f>'Model inputs'!I165*'Model inputs'!AC34</f>
        <v>60.49224288399737</v>
      </c>
      <c r="J157" s="14">
        <f>'Model inputs'!J165*'Model inputs'!AC34</f>
        <v>71.46574027683371</v>
      </c>
      <c r="K157" s="14">
        <f>'Model inputs'!K165*'Model inputs'!AC34</f>
        <v>82.74944598185277</v>
      </c>
      <c r="L157" s="14">
        <f>'Model inputs'!L165*'Model inputs'!AC34</f>
        <v>94.36602441138746</v>
      </c>
      <c r="M157" s="14">
        <f>'Model inputs'!M165*'Model inputs'!AC34</f>
        <v>106.33905857848563</v>
      </c>
      <c r="N157" s="14">
        <f>'Model inputs'!N165*'Model inputs'!AC34</f>
        <v>118.69310246554285</v>
      </c>
      <c r="O157" s="14">
        <f>'Model inputs'!O165*'Model inputs'!AC34</f>
        <v>131.45373581820894</v>
      </c>
      <c r="P157" s="14">
        <f>'Model inputs'!P165*'Model inputs'!AC34</f>
        <v>144.64762149162664</v>
      </c>
      <c r="Q157" s="14">
        <f>'Model inputs'!Q165*'Model inputs'!AC34</f>
        <v>158.30256548224003</v>
      </c>
      <c r="R157" s="14">
        <f>'Model inputs'!R165*'Model inputs'!AC34</f>
        <v>172.44757978490316</v>
      </c>
      <c r="S157" s="14">
        <f>'Model inputs'!S165*'Model inputs'!AC34</f>
        <v>187.11294822184286</v>
      </c>
      <c r="T157" s="14">
        <f>'Model inputs'!T165*'Model inputs'!AC34</f>
        <v>202.33029539719877</v>
      </c>
      <c r="U157" s="14">
        <f>'Model inputs'!U165*'Model inputs'!AC34</f>
        <v>218.13265893839448</v>
      </c>
      <c r="V157" s="14">
        <f>'Model inputs'!V165*'Model inputs'!AC34</f>
        <v>234.55456519350994</v>
      </c>
      <c r="W157" s="14">
        <f>'Model inputs'!W165*'Model inputs'!AC34</f>
        <v>251.6321085621353</v>
      </c>
      <c r="X157" s="14">
        <f>'Model inputs'!X165*'Model inputs'!AC34</f>
        <v>269.40303464592347</v>
      </c>
      <c r="Y157" s="14">
        <f>'Model inputs'!Y165*'Model inputs'!AC34</f>
        <v>287.9068274142306</v>
      </c>
      <c r="Z157" s="14">
        <f>'Model inputs'!Z165*'Model inputs'!AC34</f>
        <v>307.1848005898727</v>
      </c>
      <c r="AA157" s="14">
        <f>'Model inputs'!AA165*'Model inputs'!AC34</f>
        <v>327.280193470149</v>
      </c>
    </row>
    <row r="158" outlineLevel="1">
      <c r="A158" t="inlineStr" s="24">
        <is>
          <t xml:space="preserve">Run delivery costs &gt; Developer</t>
        </is>
      </c>
      <c r="B158" s="14">
        <f>'Model inputs'!B186*'Model inputs'!AC34</f>
        <v>0</v>
      </c>
      <c r="C158" s="14">
        <f>'Model inputs'!C166*'Model inputs'!AC34</f>
        <v>0</v>
      </c>
      <c r="D158" s="14">
        <f>'Model inputs'!D166*'Model inputs'!AC34</f>
        <v>1.90856</v>
      </c>
      <c r="E158" s="14">
        <f>'Model inputs'!E166*'Model inputs'!AC34</f>
        <v>3.8552912000000004</v>
      </c>
      <c r="F158" s="14">
        <f>'Model inputs'!F166*'Model inputs'!AC34</f>
        <v>5.843819864</v>
      </c>
      <c r="G158" s="14">
        <f>'Model inputs'!G166*'Model inputs'!AC34</f>
        <v>7.87790203808</v>
      </c>
      <c r="H158" s="14">
        <f>'Model inputs'!H166*'Model inputs'!AC34</f>
        <v>9.961431585437602</v>
      </c>
      <c r="I158" s="14">
        <f>'Model inputs'!I166*'Model inputs'!AC34</f>
        <v>12.098448576799475</v>
      </c>
      <c r="J158" s="14">
        <f>'Model inputs'!J166*'Model inputs'!AC34</f>
        <v>14.293148055366743</v>
      </c>
      <c r="K158" s="14">
        <f>'Model inputs'!K166*'Model inputs'!AC34</f>
        <v>16.549889196370557</v>
      </c>
      <c r="L158" s="14">
        <f>'Model inputs'!L166*'Model inputs'!AC34</f>
        <v>18.87320488227749</v>
      </c>
      <c r="M158" s="14">
        <f>'Model inputs'!M166*'Model inputs'!AC34</f>
        <v>21.267811715697125</v>
      </c>
      <c r="N158" s="14">
        <f>'Model inputs'!N166*'Model inputs'!AC34</f>
        <v>23.73862049310857</v>
      </c>
      <c r="O158" s="14">
        <f>'Model inputs'!O166*'Model inputs'!AC34</f>
        <v>26.290747163641786</v>
      </c>
      <c r="P158" s="14">
        <f>'Model inputs'!P166*'Model inputs'!AC34</f>
        <v>28.929524298325333</v>
      </c>
      <c r="Q158" s="14">
        <f>'Model inputs'!Q166*'Model inputs'!AC34</f>
        <v>31.660513096448003</v>
      </c>
      <c r="R158" s="14">
        <f>'Model inputs'!R166*'Model inputs'!AC34</f>
        <v>34.489515956980625</v>
      </c>
      <c r="S158" s="14">
        <f>'Model inputs'!S166*'Model inputs'!AC34</f>
        <v>37.42258964436857</v>
      </c>
      <c r="T158" s="14">
        <f>'Model inputs'!T166*'Model inputs'!AC34</f>
        <v>40.46605907943975</v>
      </c>
      <c r="U158" s="14">
        <f>'Model inputs'!U166*'Model inputs'!AC34</f>
        <v>43.62653178767891</v>
      </c>
      <c r="V158" s="14">
        <f>'Model inputs'!V166*'Model inputs'!AC34</f>
        <v>46.91091303870199</v>
      </c>
      <c r="W158" s="14">
        <f>'Model inputs'!W166*'Model inputs'!AC34</f>
        <v>50.32642171242707</v>
      </c>
      <c r="X158" s="14">
        <f>'Model inputs'!X166*'Model inputs'!AC34</f>
        <v>53.880606929184694</v>
      </c>
      <c r="Y158" s="14">
        <f>'Model inputs'!Y166*'Model inputs'!AC34</f>
        <v>57.58136548284612</v>
      </c>
      <c r="Z158" s="14">
        <f>'Model inputs'!Z166*'Model inputs'!AC34</f>
        <v>61.43696011797454</v>
      </c>
      <c r="AA158" s="14">
        <f>'Model inputs'!AA166*'Model inputs'!AC34</f>
        <v>65.4560386940298</v>
      </c>
    </row>
    <row r="159" outlineLevel="1">
      <c r="A159" t="inlineStr" s="24">
        <is>
          <t xml:space="preserve">Run delivery costs &gt; Team</t>
        </is>
      </c>
      <c r="B159" s="14">
        <f>'Model inputs'!B187*'Model inputs'!AC34</f>
        <v>0</v>
      </c>
      <c r="C159" s="14">
        <f>'Model inputs'!C167*'Model inputs'!AC34</f>
        <v>0</v>
      </c>
      <c r="D159" s="14">
        <f>'Model inputs'!D167*'Model inputs'!AC34</f>
        <v>9.5428</v>
      </c>
      <c r="E159" s="14">
        <f>'Model inputs'!E167*'Model inputs'!AC34</f>
        <v>19.276456</v>
      </c>
      <c r="F159" s="14">
        <f>'Model inputs'!F167*'Model inputs'!AC34</f>
        <v>29.21909932</v>
      </c>
      <c r="G159" s="14">
        <f>'Model inputs'!G167*'Model inputs'!AC34</f>
        <v>39.389510190399996</v>
      </c>
      <c r="H159" s="14">
        <f>'Model inputs'!H167*'Model inputs'!AC34</f>
        <v>49.807157927188015</v>
      </c>
      <c r="I159" s="14">
        <f>'Model inputs'!I167*'Model inputs'!AC34</f>
        <v>60.49224288399737</v>
      </c>
      <c r="J159" s="14">
        <f>'Model inputs'!J167*'Model inputs'!AC34</f>
        <v>71.46574027683371</v>
      </c>
      <c r="K159" s="14">
        <f>'Model inputs'!K167*'Model inputs'!AC34</f>
        <v>82.74944598185277</v>
      </c>
      <c r="L159" s="14">
        <f>'Model inputs'!L167*'Model inputs'!AC34</f>
        <v>94.36602441138746</v>
      </c>
      <c r="M159" s="14">
        <f>'Model inputs'!M167*'Model inputs'!AC34</f>
        <v>106.33905857848563</v>
      </c>
      <c r="N159" s="14">
        <f>'Model inputs'!N167*'Model inputs'!AC34</f>
        <v>118.69310246554285</v>
      </c>
      <c r="O159" s="14">
        <f>'Model inputs'!O167*'Model inputs'!AC34</f>
        <v>131.45373581820894</v>
      </c>
      <c r="P159" s="14">
        <f>'Model inputs'!P167*'Model inputs'!AC34</f>
        <v>144.64762149162664</v>
      </c>
      <c r="Q159" s="14">
        <f>'Model inputs'!Q167*'Model inputs'!AC34</f>
        <v>158.30256548224003</v>
      </c>
      <c r="R159" s="14">
        <f>'Model inputs'!R167*'Model inputs'!AC34</f>
        <v>172.44757978490316</v>
      </c>
      <c r="S159" s="14">
        <f>'Model inputs'!S167*'Model inputs'!AC34</f>
        <v>187.11294822184286</v>
      </c>
      <c r="T159" s="14">
        <f>'Model inputs'!T167*'Model inputs'!AC34</f>
        <v>202.33029539719877</v>
      </c>
      <c r="U159" s="14">
        <f>'Model inputs'!U167*'Model inputs'!AC34</f>
        <v>218.13265893839448</v>
      </c>
      <c r="V159" s="14">
        <f>'Model inputs'!V167*'Model inputs'!AC34</f>
        <v>234.55456519350994</v>
      </c>
      <c r="W159" s="14">
        <f>'Model inputs'!W167*'Model inputs'!AC34</f>
        <v>251.6321085621353</v>
      </c>
      <c r="X159" s="14">
        <f>'Model inputs'!X167*'Model inputs'!AC34</f>
        <v>269.40303464592347</v>
      </c>
      <c r="Y159" s="14">
        <f>'Model inputs'!Y167*'Model inputs'!AC34</f>
        <v>287.9068274142306</v>
      </c>
      <c r="Z159" s="14">
        <f>'Model inputs'!Z167*'Model inputs'!AC34</f>
        <v>307.1848005898727</v>
      </c>
      <c r="AA159" s="14">
        <f>'Model inputs'!AA167*'Model inputs'!AC34</f>
        <v>327.280193470149</v>
      </c>
    </row>
    <row r="160">
      <c r="A160" t="inlineStr" s="23">
        <is>
          <t xml:space="preserve">Payment processing costs</t>
        </is>
      </c>
      <c r="C160" s="11">
        <f>SUM('Model inputs'!C161,'Model inputs'!C162,'Model inputs'!C163)</f>
        <v>0</v>
      </c>
      <c r="D160" s="11">
        <f>SUM('Model inputs'!D161,'Model inputs'!D162,'Model inputs'!D163)</f>
        <v>13.514999999999999</v>
      </c>
      <c r="E160" s="11">
        <f>SUM('Model inputs'!E161,'Model inputs'!E162,'Model inputs'!E163)</f>
        <v>27.3003</v>
      </c>
      <c r="F160" s="11">
        <f>SUM('Model inputs'!F161,'Model inputs'!F162,'Model inputs'!F163)</f>
        <v>41.3815785</v>
      </c>
      <c r="G160" s="11">
        <f>SUM('Model inputs'!G161,'Model inputs'!G162,'Model inputs'!G163)</f>
        <v>55.78543302</v>
      </c>
      <c r="H160" s="11">
        <f>SUM('Model inputs'!H161,'Model inputs'!H162,'Model inputs'!H163)</f>
        <v>70.53943699815001</v>
      </c>
      <c r="I160" s="11">
        <f>SUM('Model inputs'!I161,'Model inputs'!I162,'Model inputs'!I163)</f>
        <v>85.67219920539301</v>
      </c>
      <c r="J160" s="11">
        <f>SUM('Model inputs'!J161,'Model inputs'!J162,'Model inputs'!J163)</f>
        <v>101.2134258122781</v>
      </c>
      <c r="K160" s="11">
        <f>SUM('Model inputs'!K161,'Model inputs'!K162,'Model inputs'!K163)</f>
        <v>117.193985250109</v>
      </c>
      <c r="L160" s="11">
        <f>SUM('Model inputs'!L161,'Model inputs'!L162,'Model inputs'!L163)</f>
        <v>133.64597601541493</v>
      </c>
      <c r="M160" s="11">
        <f>SUM('Model inputs'!M161,'Model inputs'!M162,'Model inputs'!M163)</f>
        <v>150.60279757390214</v>
      </c>
      <c r="N160" s="11">
        <f>SUM('Model inputs'!N161,'Model inputs'!N162,'Model inputs'!N163)</f>
        <v>168.0992245275822</v>
      </c>
      <c r="O160" s="11">
        <f>SUM('Model inputs'!O161,'Model inputs'!O162,'Model inputs'!O163)</f>
        <v>186.17148421669674</v>
      </c>
      <c r="P160" s="11">
        <f>SUM('Model inputs'!P161,'Model inputs'!P162,'Model inputs'!P163)</f>
        <v>204.8573379363849</v>
      </c>
      <c r="Q160" s="11">
        <f>SUM('Model inputs'!Q161,'Model inputs'!Q162,'Model inputs'!Q163)</f>
        <v>224.1961659567919</v>
      </c>
      <c r="R160" s="11">
        <f>SUM('Model inputs'!R161,'Model inputs'!R162,'Model inputs'!R163)</f>
        <v>244.22905654451165</v>
      </c>
      <c r="S160" s="11">
        <f>SUM('Model inputs'!S161,'Model inputs'!S162,'Model inputs'!S163)</f>
        <v>264.99889919292093</v>
      </c>
      <c r="T160" s="11">
        <f>SUM('Model inputs'!T161,'Model inputs'!T162,'Model inputs'!T163)</f>
        <v>286.5504822791152</v>
      </c>
      <c r="U160" s="11">
        <f>SUM('Model inputs'!U161,'Model inputs'!U162,'Model inputs'!U163)</f>
        <v>308.93059537582275</v>
      </c>
      <c r="V160" s="11">
        <f>SUM('Model inputs'!V161,'Model inputs'!V162,'Model inputs'!V163)</f>
        <v>332.1881364578831</v>
      </c>
      <c r="W160" s="11">
        <f>SUM('Model inputs'!W161,'Model inputs'!W162,'Model inputs'!W163)</f>
        <v>356.37422425464837</v>
      </c>
      <c r="X160" s="11">
        <f>SUM('Model inputs'!X161,'Model inputs'!X162,'Model inputs'!X163)</f>
        <v>381.5423160120358</v>
      </c>
      <c r="Y160" s="11">
        <f>SUM('Model inputs'!Y161,'Model inputs'!Y162,'Model inputs'!Y163)</f>
        <v>407.74833094095294</v>
      </c>
      <c r="Z160" s="11">
        <f>SUM('Model inputs'!Z161,'Model inputs'!Z162,'Model inputs'!Z163)</f>
        <v>435.0507796424665</v>
      </c>
      <c r="AA160" s="11">
        <f>SUM('Model inputs'!AA161,'Model inputs'!AA162,'Model inputs'!AA163)</f>
        <v>463.5108998144217</v>
      </c>
    </row>
    <row r="161" outlineLevel="1">
      <c r="A161" t="inlineStr" s="24">
        <is>
          <t xml:space="preserve">Payment processing costs &gt; Agency</t>
        </is>
      </c>
      <c r="C161" s="14">
        <f>'Model inputs'!C85*'Model inputs'!AC119+'Model inputs'!C7*'Model inputs'!AC121</f>
        <v>0</v>
      </c>
      <c r="D161" s="14">
        <f>'Model inputs'!D85*'Model inputs'!AC119+'Model inputs'!D7*'Model inputs'!AC121</f>
        <v>4.635</v>
      </c>
      <c r="E161" s="14">
        <f>'Model inputs'!E85*'Model inputs'!AC119+'Model inputs'!E7*'Model inputs'!AC121</f>
        <v>9.3627</v>
      </c>
      <c r="F161" s="14">
        <f>'Model inputs'!F85*'Model inputs'!AC119+'Model inputs'!F7*'Model inputs'!AC121</f>
        <v>14.1919065</v>
      </c>
      <c r="G161" s="14">
        <f>'Model inputs'!G85*'Model inputs'!AC119+'Model inputs'!G7*'Model inputs'!AC121</f>
        <v>19.13174118</v>
      </c>
      <c r="H161" s="14">
        <f>'Model inputs'!H85*'Model inputs'!AC119+'Model inputs'!H7*'Model inputs'!AC121</f>
        <v>24.191660413350004</v>
      </c>
      <c r="I161" s="14">
        <f>'Model inputs'!I85*'Model inputs'!AC119+'Model inputs'!I7*'Model inputs'!AC121</f>
        <v>29.381475643137</v>
      </c>
      <c r="J161" s="14">
        <f>'Model inputs'!J85*'Model inputs'!AC119+'Model inputs'!J7*'Model inputs'!AC121</f>
        <v>34.71137466813977</v>
      </c>
      <c r="K161" s="14">
        <f>'Model inputs'!K85*'Model inputs'!AC119+'Model inputs'!K7*'Model inputs'!AC121</f>
        <v>40.19194388710731</v>
      </c>
      <c r="L161" s="14">
        <f>'Model inputs'!L85*'Model inputs'!AC119+'Model inputs'!L7*'Model inputs'!AC121</f>
        <v>45.834191552456396</v>
      </c>
      <c r="M161" s="14">
        <f>'Model inputs'!M85*'Model inputs'!AC119+'Model inputs'!M7*'Model inputs'!AC121</f>
        <v>51.64957208694313</v>
      </c>
      <c r="N161" s="14">
        <f>'Model inputs'!N85*'Model inputs'!AC119+'Model inputs'!N7*'Model inputs'!AC121</f>
        <v>57.65001151944828</v>
      </c>
      <c r="O161" s="14">
        <f>'Model inputs'!O85*'Model inputs'!AC119+'Model inputs'!O7*'Model inputs'!AC121</f>
        <v>63.84793409873396</v>
      </c>
      <c r="P161" s="14">
        <f>'Model inputs'!P85*'Model inputs'!AC119+'Model inputs'!P7*'Model inputs'!AC121</f>
        <v>70.25629014688451</v>
      </c>
      <c r="Q161" s="14">
        <f>'Model inputs'!Q85*'Model inputs'!AC119+'Model inputs'!Q7*'Model inputs'!AC121</f>
        <v>76.88858521714617</v>
      </c>
      <c r="R161" s="14">
        <f>'Model inputs'!R85*'Model inputs'!AC119+'Model inputs'!R7*'Model inputs'!AC121</f>
        <v>83.7589106240334</v>
      </c>
      <c r="S161" s="14">
        <f>'Model inputs'!S85*'Model inputs'!AC119+'Model inputs'!S7*'Model inputs'!AC121</f>
        <v>90.8819754168841</v>
      </c>
      <c r="T161" s="14">
        <f>'Model inputs'!T85*'Model inputs'!AC119+'Model inputs'!T7*'Model inputs'!AC121</f>
        <v>98.27313987152786</v>
      </c>
      <c r="U161" s="14">
        <f>'Model inputs'!U85*'Model inputs'!AC119+'Model inputs'!U7*'Model inputs'!AC121</f>
        <v>105.94845057838984</v>
      </c>
      <c r="V161" s="14">
        <f>'Model inputs'!V85*'Model inputs'!AC119+'Model inputs'!V7*'Model inputs'!AC121</f>
        <v>113.92467720919632</v>
      </c>
      <c r="W161" s="14">
        <f>'Model inputs'!W85*'Model inputs'!AC119+'Model inputs'!W7*'Model inputs'!AC121</f>
        <v>122.21935104848652</v>
      </c>
      <c r="X161" s="14">
        <f>'Model inputs'!X85*'Model inputs'!AC119+'Model inputs'!X7*'Model inputs'!AC121</f>
        <v>130.85080538037633</v>
      </c>
      <c r="Y161" s="14">
        <f>'Model inputs'!Y85*'Model inputs'!AC119+'Model inputs'!Y7*'Model inputs'!AC121</f>
        <v>139.83821782547665</v>
      </c>
      <c r="Z161" s="14">
        <f>'Model inputs'!Z85*'Model inputs'!AC119+'Model inputs'!Z7*'Model inputs'!AC121</f>
        <v>149.20165472754954</v>
      </c>
      <c r="AA161" s="14">
        <f>'Model inputs'!AA85*'Model inputs'!AC119+'Model inputs'!AA7*'Model inputs'!AC121</f>
        <v>158.96211769440214</v>
      </c>
    </row>
    <row r="162" outlineLevel="1">
      <c r="A162" t="inlineStr" s="24">
        <is>
          <t xml:space="preserve">Payment processing costs &gt; Developer</t>
        </is>
      </c>
      <c r="C162" s="14">
        <f>'Model inputs'!C86*'Model inputs'!AC119+'Model inputs'!C8*'Model inputs'!AC121</f>
        <v>0</v>
      </c>
      <c r="D162" s="14">
        <f>'Model inputs'!D86*'Model inputs'!AC119+'Model inputs'!D8*'Model inputs'!AC121</f>
        <v>2.34</v>
      </c>
      <c r="E162" s="14">
        <f>'Model inputs'!E86*'Model inputs'!AC119+'Model inputs'!E8*'Model inputs'!AC121</f>
        <v>4.7268</v>
      </c>
      <c r="F162" s="14">
        <f>'Model inputs'!F86*'Model inputs'!AC119+'Model inputs'!F8*'Model inputs'!AC121</f>
        <v>7.164846</v>
      </c>
      <c r="G162" s="14">
        <f>'Model inputs'!G86*'Model inputs'!AC119+'Model inputs'!G8*'Model inputs'!AC121</f>
        <v>9.65874312</v>
      </c>
      <c r="H162" s="14">
        <f>'Model inputs'!H86*'Model inputs'!AC119+'Model inputs'!H8*'Model inputs'!AC121</f>
        <v>12.213265451400002</v>
      </c>
      <c r="I162" s="14">
        <f>'Model inputs'!I86*'Model inputs'!AC119+'Model inputs'!I8*'Model inputs'!AC121</f>
        <v>14.833366344108</v>
      </c>
      <c r="J162" s="14">
        <f>'Model inputs'!J86*'Model inputs'!AC119+'Model inputs'!J8*'Model inputs'!AC121</f>
        <v>17.524189152847264</v>
      </c>
      <c r="K162" s="14">
        <f>'Model inputs'!K86*'Model inputs'!AC119+'Model inputs'!K8*'Model inputs'!AC121</f>
        <v>20.291078467277472</v>
      </c>
      <c r="L162" s="14">
        <f>'Model inputs'!L86*'Model inputs'!AC119+'Model inputs'!L8*'Model inputs'!AC121</f>
        <v>23.13959185172556</v>
      </c>
      <c r="M162" s="14">
        <f>'Model inputs'!M86*'Model inputs'!AC119+'Model inputs'!M8*'Model inputs'!AC121</f>
        <v>26.07551212156352</v>
      </c>
      <c r="N162" s="14">
        <f>'Model inputs'!N86*'Model inputs'!AC119+'Model inputs'!N8*'Model inputs'!AC121</f>
        <v>29.10486018457583</v>
      </c>
      <c r="O162" s="14">
        <f>'Model inputs'!O86*'Model inputs'!AC119+'Model inputs'!O8*'Model inputs'!AC121</f>
        <v>32.23390847703073</v>
      </c>
      <c r="P162" s="14">
        <f>'Model inputs'!P86*'Model inputs'!AC119+'Model inputs'!P8*'Model inputs'!AC121</f>
        <v>35.4691950256116</v>
      </c>
      <c r="Q162" s="14">
        <f>'Model inputs'!Q86*'Model inputs'!AC119+'Model inputs'!Q8*'Model inputs'!AC121</f>
        <v>38.81753816787962</v>
      </c>
      <c r="R162" s="14">
        <f>'Model inputs'!R86*'Model inputs'!AC119+'Model inputs'!R8*'Model inputs'!AC121</f>
        <v>42.28605196553143</v>
      </c>
      <c r="S162" s="14">
        <f>'Model inputs'!S86*'Model inputs'!AC119+'Model inputs'!S8*'Model inputs'!AC121</f>
        <v>45.882162346388085</v>
      </c>
      <c r="T162" s="14">
        <f>'Model inputs'!T86*'Model inputs'!AC119+'Model inputs'!T8*'Model inputs'!AC121</f>
        <v>49.61362401281019</v>
      </c>
      <c r="U162" s="14">
        <f>'Model inputs'!U86*'Model inputs'!AC119+'Model inputs'!U8*'Model inputs'!AC121</f>
        <v>53.488538156080295</v>
      </c>
      <c r="V162" s="14">
        <f>'Model inputs'!V86*'Model inputs'!AC119+'Model inputs'!V8*'Model inputs'!AC121</f>
        <v>57.51537101823503</v>
      </c>
      <c r="W162" s="14">
        <f>'Model inputs'!W86*'Model inputs'!AC119+'Model inputs'!W8*'Model inputs'!AC121</f>
        <v>61.702973344866976</v>
      </c>
      <c r="X162" s="14">
        <f>'Model inputs'!X86*'Model inputs'!AC119+'Model inputs'!X8*'Model inputs'!AC121</f>
        <v>66.06060077455892</v>
      </c>
      <c r="Y162" s="14">
        <f>'Model inputs'!Y86*'Model inputs'!AC119+'Model inputs'!Y8*'Model inputs'!AC121</f>
        <v>70.597935212862</v>
      </c>
      <c r="Z162" s="14">
        <f>'Model inputs'!Z86*'Model inputs'!AC119+'Model inputs'!Z8*'Model inputs'!AC121</f>
        <v>75.32510724109298</v>
      </c>
      <c r="AA162" s="14">
        <f>'Model inputs'!AA86*'Model inputs'!AC119+'Model inputs'!AA8*'Model inputs'!AC121</f>
        <v>80.25271961270786</v>
      </c>
    </row>
    <row r="163" outlineLevel="1">
      <c r="A163" t="inlineStr" s="24">
        <is>
          <t xml:space="preserve">Payment processing costs &gt; Team</t>
        </is>
      </c>
      <c r="C163" s="14">
        <f>'Model inputs'!C87*'Model inputs'!AC119+'Model inputs'!C9*'Model inputs'!AC121</f>
        <v>0</v>
      </c>
      <c r="D163" s="14">
        <f>'Model inputs'!D87*'Model inputs'!AC119+'Model inputs'!D9*'Model inputs'!AC121</f>
        <v>6.539999999999999</v>
      </c>
      <c r="E163" s="14">
        <f>'Model inputs'!E87*'Model inputs'!AC119+'Model inputs'!E9*'Model inputs'!AC121</f>
        <v>13.210799999999999</v>
      </c>
      <c r="F163" s="14">
        <f>'Model inputs'!F87*'Model inputs'!AC119+'Model inputs'!F9*'Model inputs'!AC121</f>
        <v>20.024826</v>
      </c>
      <c r="G163" s="14">
        <f>'Model inputs'!G87*'Model inputs'!AC119+'Model inputs'!G9*'Model inputs'!AC121</f>
        <v>26.99494872</v>
      </c>
      <c r="H163" s="14">
        <f>'Model inputs'!H87*'Model inputs'!AC119+'Model inputs'!H9*'Model inputs'!AC121</f>
        <v>34.134511133400004</v>
      </c>
      <c r="I163" s="14">
        <f>'Model inputs'!I87*'Model inputs'!AC119+'Model inputs'!I9*'Model inputs'!AC121</f>
        <v>41.457357218148005</v>
      </c>
      <c r="J163" s="14">
        <f>'Model inputs'!J87*'Model inputs'!AC119+'Model inputs'!J9*'Model inputs'!AC121</f>
        <v>48.977861991291064</v>
      </c>
      <c r="K163" s="14">
        <f>'Model inputs'!K87*'Model inputs'!AC119+'Model inputs'!K9*'Model inputs'!AC121</f>
        <v>56.71096289572422</v>
      </c>
      <c r="L163" s="14">
        <f>'Model inputs'!L87*'Model inputs'!AC119+'Model inputs'!L9*'Model inputs'!AC121</f>
        <v>64.67219261123297</v>
      </c>
      <c r="M163" s="14">
        <f>'Model inputs'!M87*'Model inputs'!AC119+'Model inputs'!M9*'Model inputs'!AC121</f>
        <v>72.87771336539548</v>
      </c>
      <c r="N163" s="14">
        <f>'Model inputs'!N87*'Model inputs'!AC119+'Model inputs'!N9*'Model inputs'!AC121</f>
        <v>81.3443528235581</v>
      </c>
      <c r="O163" s="14">
        <f>'Model inputs'!O87*'Model inputs'!AC119+'Model inputs'!O9*'Model inputs'!AC121</f>
        <v>90.08964164093204</v>
      </c>
      <c r="P163" s="14">
        <f>'Model inputs'!P87*'Model inputs'!AC119+'Model inputs'!P9*'Model inputs'!AC121</f>
        <v>99.13185276388882</v>
      </c>
      <c r="Q163" s="14">
        <f>'Model inputs'!Q87*'Model inputs'!AC119+'Model inputs'!Q9*'Model inputs'!AC121</f>
        <v>108.49004257176611</v>
      </c>
      <c r="R163" s="14">
        <f>'Model inputs'!R87*'Model inputs'!AC119+'Model inputs'!R9*'Model inputs'!AC121</f>
        <v>118.18409395494682</v>
      </c>
      <c r="S163" s="14">
        <f>'Model inputs'!S87*'Model inputs'!AC119+'Model inputs'!S9*'Model inputs'!AC121</f>
        <v>128.23476142964876</v>
      </c>
      <c r="T163" s="14">
        <f>'Model inputs'!T87*'Model inputs'!AC119+'Model inputs'!T9*'Model inputs'!AC121</f>
        <v>138.66371839477716</v>
      </c>
      <c r="U163" s="14">
        <f>'Model inputs'!U87*'Model inputs'!AC119+'Model inputs'!U9*'Model inputs'!AC121</f>
        <v>149.4936066413526</v>
      </c>
      <c r="V163" s="14">
        <f>'Model inputs'!V87*'Model inputs'!AC119+'Model inputs'!V9*'Model inputs'!AC121</f>
        <v>160.74808823045174</v>
      </c>
      <c r="W163" s="14">
        <f>'Model inputs'!W87*'Model inputs'!AC119+'Model inputs'!W9*'Model inputs'!AC121</f>
        <v>172.4518998612949</v>
      </c>
      <c r="X163" s="14">
        <f>'Model inputs'!X87*'Model inputs'!AC119+'Model inputs'!X9*'Model inputs'!AC121</f>
        <v>184.6309098571006</v>
      </c>
      <c r="Y163" s="14">
        <f>'Model inputs'!Y87*'Model inputs'!AC119+'Model inputs'!Y9*'Model inputs'!AC121</f>
        <v>197.3121779026143</v>
      </c>
      <c r="Z163" s="14">
        <f>'Model inputs'!Z87*'Model inputs'!AC119+'Model inputs'!Z9*'Model inputs'!AC121</f>
        <v>210.52401767382398</v>
      </c>
      <c r="AA163" s="14">
        <f>'Model inputs'!AA87*'Model inputs'!AC119+'Model inputs'!AA9*'Model inputs'!AC121</f>
        <v>224.29606250731172</v>
      </c>
    </row>
    <row r="164">
      <c r="A164" t="inlineStr" s="23">
        <is>
          <t xml:space="preserve">Completed runs</t>
        </is>
      </c>
      <c r="C164" s="6">
        <f>SUM('Model inputs'!C165,'Model inputs'!C166,'Model inputs'!C167)</f>
        <v>0</v>
      </c>
      <c r="D164" s="6">
        <f>SUM('Model inputs'!D165,'Model inputs'!D166,'Model inputs'!D167)</f>
        <v>1100</v>
      </c>
      <c r="E164" s="6">
        <f>SUM('Model inputs'!E165,'Model inputs'!E166,'Model inputs'!E167)</f>
        <v>2222</v>
      </c>
      <c r="F164" s="6">
        <f>SUM('Model inputs'!F165,'Model inputs'!F166,'Model inputs'!F167)</f>
        <v>3368.09</v>
      </c>
      <c r="G164" s="6">
        <f>SUM('Model inputs'!G165,'Model inputs'!G166,'Model inputs'!G167)</f>
        <v>4540.434799999999</v>
      </c>
      <c r="H164" s="6">
        <f>SUM('Model inputs'!H165,'Model inputs'!H166,'Model inputs'!H167)</f>
        <v>5741.278631000001</v>
      </c>
      <c r="I164" s="6">
        <f>SUM('Model inputs'!I165,'Model inputs'!I166,'Model inputs'!I167)</f>
        <v>6972.949990820001</v>
      </c>
      <c r="J164" s="6">
        <f>SUM('Model inputs'!J165,'Model inputs'!J166,'Model inputs'!J167)</f>
        <v>8237.866695782903</v>
      </c>
      <c r="K164" s="6">
        <f>SUM('Model inputs'!K165,'Model inputs'!K166,'Model inputs'!K167)</f>
        <v>9538.541159831291</v>
      </c>
      <c r="L164" s="6">
        <f>SUM('Model inputs'!L165,'Model inputs'!L166,'Model inputs'!L167)</f>
        <v>10877.585913204322</v>
      </c>
      <c r="M164" s="6">
        <f>SUM('Model inputs'!M165,'Model inputs'!M166,'Model inputs'!M167)</f>
        <v>12257.719373384562</v>
      </c>
      <c r="N164" s="6">
        <f>SUM('Model inputs'!N165,'Model inputs'!N166,'Model inputs'!N167)</f>
        <v>13681.771881638211</v>
      </c>
      <c r="O164" s="6">
        <f>SUM('Model inputs'!O165,'Model inputs'!O166,'Model inputs'!O167)</f>
        <v>15152.69201911701</v>
      </c>
      <c r="P164" s="6">
        <f>SUM('Model inputs'!P165,'Model inputs'!P166,'Model inputs'!P167)</f>
        <v>16673.553217167842</v>
      </c>
      <c r="Q164" s="6">
        <f>SUM('Model inputs'!Q165,'Model inputs'!Q166,'Model inputs'!Q167)</f>
        <v>18247.56067720837</v>
      </c>
      <c r="R164" s="6">
        <f>SUM('Model inputs'!R165,'Model inputs'!R166,'Model inputs'!R167)</f>
        <v>19878.05861627546</v>
      </c>
      <c r="S164" s="6">
        <f>SUM('Model inputs'!S165,'Model inputs'!S166,'Model inputs'!S167)</f>
        <v>21568.5378551397</v>
      </c>
      <c r="T164" s="6">
        <f>SUM('Model inputs'!T165,'Model inputs'!T166,'Model inputs'!T167)</f>
        <v>23322.643766705645</v>
      </c>
      <c r="U164" s="6">
        <f>SUM('Model inputs'!U165,'Model inputs'!U166,'Model inputs'!U167)</f>
        <v>25144.184603285612</v>
      </c>
      <c r="V164" s="6">
        <f>SUM('Model inputs'!V165,'Model inputs'!V166,'Model inputs'!V167)</f>
        <v>27037.140222247235</v>
      </c>
      <c r="W164" s="6">
        <f>SUM('Model inputs'!W165,'Model inputs'!W166,'Model inputs'!W167)</f>
        <v>29005.671230493026</v>
      </c>
      <c r="X164" s="6">
        <f>SUM('Model inputs'!X165,'Model inputs'!X166,'Model inputs'!X167)</f>
        <v>31054.128569237102</v>
      </c>
      <c r="Y164" s="6">
        <f>SUM('Model inputs'!Y165,'Model inputs'!Y166,'Model inputs'!Y167)</f>
        <v>33187.0635616018</v>
      </c>
      <c r="Z164" s="6">
        <f>SUM('Model inputs'!Z165,'Model inputs'!Z166,'Model inputs'!Z167)</f>
        <v>35409.23844666764</v>
      </c>
      <c r="AA164" s="6">
        <f>SUM('Model inputs'!AA165,'Model inputs'!AA166,'Model inputs'!AA167)</f>
        <v>37725.637424777204</v>
      </c>
    </row>
    <row r="165" outlineLevel="1">
      <c r="A165" t="inlineStr" s="24">
        <is>
          <t xml:space="preserve">Completed runs &gt; Agency</t>
        </is>
      </c>
      <c r="C165" s="9">
        <f>'Model inputs'!C7*'Model inputs'!AC40*'Model inputs'!AC81</f>
        <v>0</v>
      </c>
      <c r="D165" s="9">
        <f>'Model inputs'!D7*'Model inputs'!AC40*'Model inputs'!AC81</f>
        <v>500</v>
      </c>
      <c r="E165" s="9">
        <f>'Model inputs'!E7*'Model inputs'!AC40*'Model inputs'!AC81</f>
        <v>1010</v>
      </c>
      <c r="F165" s="9">
        <f>'Model inputs'!F7*'Model inputs'!AC40*'Model inputs'!AC81</f>
        <v>1530.95</v>
      </c>
      <c r="G165" s="9">
        <f>'Model inputs'!G7*'Model inputs'!AC40*'Model inputs'!AC81</f>
        <v>2063.834</v>
      </c>
      <c r="H165" s="9">
        <f>'Model inputs'!H7*'Model inputs'!AC40*'Model inputs'!AC81</f>
        <v>2609.6721050000006</v>
      </c>
      <c r="I165" s="9">
        <f>'Model inputs'!I7*'Model inputs'!AC40*'Model inputs'!AC81</f>
        <v>3169.5227231000003</v>
      </c>
      <c r="J165" s="9">
        <f>'Model inputs'!J7*'Model inputs'!AC40*'Model inputs'!AC81</f>
        <v>3744.484861719501</v>
      </c>
      <c r="K165" s="9">
        <f>'Model inputs'!K7*'Model inputs'!AC40*'Model inputs'!AC81</f>
        <v>4335.700527196042</v>
      </c>
      <c r="L165" s="9">
        <f>'Model inputs'!L7*'Model inputs'!AC40*'Model inputs'!AC81</f>
        <v>4944.357233274692</v>
      </c>
      <c r="M165" s="9">
        <f>'Model inputs'!M7*'Model inputs'!AC40*'Model inputs'!AC81</f>
        <v>5571.69062426571</v>
      </c>
      <c r="N165" s="9">
        <f>'Model inputs'!N7*'Model inputs'!AC40*'Model inputs'!AC81</f>
        <v>6218.98721892646</v>
      </c>
      <c r="O165" s="9">
        <f>'Model inputs'!O7*'Model inputs'!AC40*'Model inputs'!AC81</f>
        <v>6887.587281416823</v>
      </c>
      <c r="P165" s="9">
        <f>'Model inputs'!P7*'Model inputs'!AC40*'Model inputs'!AC81</f>
        <v>7578.887825985384</v>
      </c>
      <c r="Q165" s="9">
        <f>'Model inputs'!Q7*'Model inputs'!AC40*'Model inputs'!AC81</f>
        <v>8294.34576236744</v>
      </c>
      <c r="R165" s="9">
        <f>'Model inputs'!R7*'Model inputs'!AC40*'Model inputs'!AC81</f>
        <v>9035.481189216118</v>
      </c>
      <c r="S165" s="9">
        <f>'Model inputs'!S7*'Model inputs'!AC40*'Model inputs'!AC81</f>
        <v>9803.880843245319</v>
      </c>
      <c r="T165" s="9">
        <f>'Model inputs'!T7*'Model inputs'!AC40*'Model inputs'!AC81</f>
        <v>10601.201712138929</v>
      </c>
      <c r="U165" s="9">
        <f>'Model inputs'!U7*'Model inputs'!AC40*'Model inputs'!AC81</f>
        <v>11429.174819675278</v>
      </c>
      <c r="V165" s="9">
        <f>'Model inputs'!V7*'Model inputs'!AC40*'Model inputs'!AC81</f>
        <v>12289.609191930562</v>
      </c>
      <c r="W165" s="9">
        <f>'Model inputs'!W7*'Model inputs'!AC40*'Model inputs'!AC81</f>
        <v>13184.396013860465</v>
      </c>
      <c r="X165" s="9">
        <f>'Model inputs'!X7*'Model inputs'!AC40*'Model inputs'!AC81</f>
        <v>14115.512986016864</v>
      </c>
      <c r="Y165" s="9">
        <f>'Model inputs'!Y7*'Model inputs'!AC40*'Model inputs'!AC81</f>
        <v>15085.02889163718</v>
      </c>
      <c r="Z165" s="9">
        <f>'Model inputs'!Z7*'Model inputs'!AC40*'Model inputs'!AC81</f>
        <v>16095.108384848927</v>
      </c>
      <c r="AA165" s="9">
        <f>'Model inputs'!AA7*'Model inputs'!AC40*'Model inputs'!AC81</f>
        <v>17148.017011262364</v>
      </c>
    </row>
    <row r="166" outlineLevel="1">
      <c r="A166" t="inlineStr" s="24">
        <is>
          <t xml:space="preserve">Completed runs &gt; Developer</t>
        </is>
      </c>
      <c r="C166" s="9">
        <f>'Model inputs'!C8*'Model inputs'!AC41*'Model inputs'!AC81</f>
        <v>0</v>
      </c>
      <c r="D166" s="9">
        <f>'Model inputs'!D8*'Model inputs'!AC41*'Model inputs'!AC81</f>
        <v>100</v>
      </c>
      <c r="E166" s="9">
        <f>'Model inputs'!E8*'Model inputs'!AC41*'Model inputs'!AC81</f>
        <v>202</v>
      </c>
      <c r="F166" s="9">
        <f>'Model inputs'!F8*'Model inputs'!AC41*'Model inputs'!AC81</f>
        <v>306.19</v>
      </c>
      <c r="G166" s="9">
        <f>'Model inputs'!G8*'Model inputs'!AC41*'Model inputs'!AC81</f>
        <v>412.7668</v>
      </c>
      <c r="H166" s="9">
        <f>'Model inputs'!H8*'Model inputs'!AC41*'Model inputs'!AC81</f>
        <v>521.934421</v>
      </c>
      <c r="I166" s="9">
        <f>'Model inputs'!I8*'Model inputs'!AC41*'Model inputs'!AC81</f>
        <v>633.9045446200001</v>
      </c>
      <c r="J166" s="9">
        <f>'Model inputs'!J8*'Model inputs'!AC41*'Model inputs'!AC81</f>
        <v>748.8969723439002</v>
      </c>
      <c r="K166" s="9">
        <f>'Model inputs'!K8*'Model inputs'!AC41*'Model inputs'!AC81</f>
        <v>867.1401054392084</v>
      </c>
      <c r="L166" s="9">
        <f>'Model inputs'!L8*'Model inputs'!AC41*'Model inputs'!AC81</f>
        <v>988.8714466549384</v>
      </c>
      <c r="M166" s="9">
        <f>'Model inputs'!M8*'Model inputs'!AC41*'Model inputs'!AC81</f>
        <v>1114.3381248531418</v>
      </c>
      <c r="N166" s="9">
        <f>'Model inputs'!N8*'Model inputs'!AC41*'Model inputs'!AC81</f>
        <v>1243.797443785292</v>
      </c>
      <c r="O166" s="9">
        <f>'Model inputs'!O8*'Model inputs'!AC41*'Model inputs'!AC81</f>
        <v>1377.5174562833647</v>
      </c>
      <c r="P166" s="9">
        <f>'Model inputs'!P8*'Model inputs'!AC41*'Model inputs'!AC81</f>
        <v>1515.777565197077</v>
      </c>
      <c r="Q166" s="9">
        <f>'Model inputs'!Q8*'Model inputs'!AC41*'Model inputs'!AC81</f>
        <v>1658.869152473488</v>
      </c>
      <c r="R166" s="9">
        <f>'Model inputs'!R8*'Model inputs'!AC41*'Model inputs'!AC81</f>
        <v>1807.0962378432234</v>
      </c>
      <c r="S166" s="9">
        <f>'Model inputs'!S8*'Model inputs'!AC41*'Model inputs'!AC81</f>
        <v>1960.7761686490637</v>
      </c>
      <c r="T166" s="9">
        <f>'Model inputs'!T8*'Model inputs'!AC41*'Model inputs'!AC81</f>
        <v>2120.240342427786</v>
      </c>
      <c r="U166" s="9">
        <f>'Model inputs'!U8*'Model inputs'!AC41*'Model inputs'!AC81</f>
        <v>2285.834963935056</v>
      </c>
      <c r="V166" s="9">
        <f>'Model inputs'!V8*'Model inputs'!AC41*'Model inputs'!AC81</f>
        <v>2457.9218383861125</v>
      </c>
      <c r="W166" s="9">
        <f>'Model inputs'!W8*'Model inputs'!AC41*'Model inputs'!AC81</f>
        <v>2636.8792027720933</v>
      </c>
      <c r="X166" s="9">
        <f>'Model inputs'!X8*'Model inputs'!AC41*'Model inputs'!AC81</f>
        <v>2823.1025972033726</v>
      </c>
      <c r="Y166" s="9">
        <f>'Model inputs'!Y8*'Model inputs'!AC41*'Model inputs'!AC81</f>
        <v>3017.005778327436</v>
      </c>
      <c r="Z166" s="9">
        <f>'Model inputs'!Z8*'Model inputs'!AC41*'Model inputs'!AC81</f>
        <v>3219.0216769697854</v>
      </c>
      <c r="AA166" s="9">
        <f>'Model inputs'!AA8*'Model inputs'!AC41*'Model inputs'!AC81</f>
        <v>3429.6034022524727</v>
      </c>
    </row>
    <row r="167" outlineLevel="1">
      <c r="A167" t="inlineStr" s="24">
        <is>
          <t xml:space="preserve">Completed runs &gt; Team</t>
        </is>
      </c>
      <c r="C167" s="9">
        <f>'Model inputs'!C9*'Model inputs'!AC42*'Model inputs'!AC81</f>
        <v>0</v>
      </c>
      <c r="D167" s="9">
        <f>'Model inputs'!D9*'Model inputs'!AC42*'Model inputs'!AC81</f>
        <v>500</v>
      </c>
      <c r="E167" s="9">
        <f>'Model inputs'!E9*'Model inputs'!AC42*'Model inputs'!AC81</f>
        <v>1010</v>
      </c>
      <c r="F167" s="9">
        <f>'Model inputs'!F9*'Model inputs'!AC42*'Model inputs'!AC81</f>
        <v>1530.95</v>
      </c>
      <c r="G167" s="9">
        <f>'Model inputs'!G9*'Model inputs'!AC42*'Model inputs'!AC81</f>
        <v>2063.834</v>
      </c>
      <c r="H167" s="9">
        <f>'Model inputs'!H9*'Model inputs'!AC42*'Model inputs'!AC81</f>
        <v>2609.6721050000006</v>
      </c>
      <c r="I167" s="9">
        <f>'Model inputs'!I9*'Model inputs'!AC42*'Model inputs'!AC81</f>
        <v>3169.5227231000003</v>
      </c>
      <c r="J167" s="9">
        <f>'Model inputs'!J9*'Model inputs'!AC42*'Model inputs'!AC81</f>
        <v>3744.484861719501</v>
      </c>
      <c r="K167" s="9">
        <f>'Model inputs'!K9*'Model inputs'!AC42*'Model inputs'!AC81</f>
        <v>4335.700527196042</v>
      </c>
      <c r="L167" s="9">
        <f>'Model inputs'!L9*'Model inputs'!AC42*'Model inputs'!AC81</f>
        <v>4944.357233274692</v>
      </c>
      <c r="M167" s="9">
        <f>'Model inputs'!M9*'Model inputs'!AC42*'Model inputs'!AC81</f>
        <v>5571.69062426571</v>
      </c>
      <c r="N167" s="9">
        <f>'Model inputs'!N9*'Model inputs'!AC42*'Model inputs'!AC81</f>
        <v>6218.98721892646</v>
      </c>
      <c r="O167" s="9">
        <f>'Model inputs'!O9*'Model inputs'!AC42*'Model inputs'!AC81</f>
        <v>6887.587281416823</v>
      </c>
      <c r="P167" s="9">
        <f>'Model inputs'!P9*'Model inputs'!AC42*'Model inputs'!AC81</f>
        <v>7578.887825985384</v>
      </c>
      <c r="Q167" s="9">
        <f>'Model inputs'!Q9*'Model inputs'!AC42*'Model inputs'!AC81</f>
        <v>8294.34576236744</v>
      </c>
      <c r="R167" s="9">
        <f>'Model inputs'!R9*'Model inputs'!AC42*'Model inputs'!AC81</f>
        <v>9035.481189216118</v>
      </c>
      <c r="S167" s="9">
        <f>'Model inputs'!S9*'Model inputs'!AC42*'Model inputs'!AC81</f>
        <v>9803.880843245319</v>
      </c>
      <c r="T167" s="9">
        <f>'Model inputs'!T9*'Model inputs'!AC42*'Model inputs'!AC81</f>
        <v>10601.201712138929</v>
      </c>
      <c r="U167" s="9">
        <f>'Model inputs'!U9*'Model inputs'!AC42*'Model inputs'!AC81</f>
        <v>11429.174819675278</v>
      </c>
      <c r="V167" s="9">
        <f>'Model inputs'!V9*'Model inputs'!AC42*'Model inputs'!AC81</f>
        <v>12289.609191930562</v>
      </c>
      <c r="W167" s="9">
        <f>'Model inputs'!W9*'Model inputs'!AC42*'Model inputs'!AC81</f>
        <v>13184.396013860465</v>
      </c>
      <c r="X167" s="9">
        <f>'Model inputs'!X9*'Model inputs'!AC42*'Model inputs'!AC81</f>
        <v>14115.512986016864</v>
      </c>
      <c r="Y167" s="9">
        <f>'Model inputs'!Y9*'Model inputs'!AC42*'Model inputs'!AC81</f>
        <v>15085.02889163718</v>
      </c>
      <c r="Z167" s="9">
        <f>'Model inputs'!Z9*'Model inputs'!AC42*'Model inputs'!AC81</f>
        <v>16095.108384848927</v>
      </c>
      <c r="AA167" s="9">
        <f>'Model inputs'!AA9*'Model inputs'!AC42*'Model inputs'!AC81</f>
        <v>17148.017011262364</v>
      </c>
    </row>
    <row r="168">
      <c r="A168" t="inlineStr" s="23">
        <is>
          <t xml:space="preserve">Elapsed seconds</t>
        </is>
      </c>
      <c r="AC168" s="6">
        <v>0</v>
      </c>
    </row>
    <row r="169" outlineLevel="1">
      <c r="A169" t="inlineStr" s="24">
        <is>
          <t xml:space="preserve">Elapsed seconds &gt; Run 1</t>
        </is>
      </c>
      <c r="AC169" s="9">
        <f>'CheckoutGuard — Business plan ·'!D5</f>
        <v>21.3</v>
      </c>
    </row>
    <row r="170" outlineLevel="1">
      <c r="A170" t="inlineStr" s="24">
        <is>
          <t xml:space="preserve">Elapsed seconds &gt; Run 2</t>
        </is>
      </c>
      <c r="AC170" s="9">
        <f>'CheckoutGuard — Business plan ·'!D6</f>
        <v>28.92</v>
      </c>
    </row>
    <row r="171" outlineLevel="1">
      <c r="A171" t="inlineStr" s="24">
        <is>
          <t xml:space="preserve">Elapsed seconds &gt; Run 3</t>
        </is>
      </c>
      <c r="AC171" s="9">
        <f>'CheckoutGuard — Business plan ·'!D7</f>
        <v>16.66</v>
      </c>
    </row>
    <row r="172">
      <c r="A172" t="inlineStr" s="23">
        <is>
          <t xml:space="preserve">Active subscriptions</t>
        </is>
      </c>
      <c r="B172" s="6">
        <f>IF('Model inputs'!B6="","",'Model inputs'!B6)</f>
        <v>0</v>
      </c>
      <c r="C172" s="6">
        <f>IF('Model inputs'!C6="","",'Model inputs'!C6)</f>
        <v>0</v>
      </c>
      <c r="D172" s="6">
        <f>IF('Model inputs'!D6="","",'Model inputs'!D6)</f>
        <v>4.5</v>
      </c>
      <c r="E172" s="6">
        <f>IF('Model inputs'!E6="","",'Model inputs'!E6)</f>
        <v>9.09</v>
      </c>
      <c r="F172" s="6">
        <f>IF('Model inputs'!F6="","",'Model inputs'!F6)</f>
        <v>13.77855</v>
      </c>
      <c r="G172" s="6">
        <f>IF('Model inputs'!G6="","",'Model inputs'!G6)</f>
        <v>18.574506</v>
      </c>
      <c r="H172" s="6">
        <f>IF('Model inputs'!H6="","",'Model inputs'!H6)</f>
        <v>23.487048945000005</v>
      </c>
      <c r="I172" s="6">
        <f>IF('Model inputs'!I6="","",'Model inputs'!I6)</f>
        <v>28.525704507900002</v>
      </c>
      <c r="J172" s="6">
        <f>IF('Model inputs'!J6="","",'Model inputs'!J6)</f>
        <v>33.70036375547551</v>
      </c>
      <c r="K172" s="6">
        <f>IF('Model inputs'!K6="","",'Model inputs'!K6)</f>
        <v>39.02130474476438</v>
      </c>
      <c r="L172" s="6">
        <f>IF('Model inputs'!L6="","",'Model inputs'!L6)</f>
        <v>44.49921509947223</v>
      </c>
      <c r="M172" s="6">
        <f>IF('Model inputs'!M6="","",'Model inputs'!M6)</f>
        <v>50.14521561839139</v>
      </c>
      <c r="N172" s="6">
        <f>IF('Model inputs'!N6="","",'Model inputs'!N6)</f>
        <v>55.97088497033813</v>
      </c>
      <c r="O172" s="6">
        <f>IF('Model inputs'!O6="","",'Model inputs'!O6)</f>
        <v>61.988285532751405</v>
      </c>
      <c r="P172" s="6">
        <f>IF('Model inputs'!P6="","",'Model inputs'!P6)</f>
        <v>68.20999043386846</v>
      </c>
      <c r="Q172" s="6">
        <f>IF('Model inputs'!Q6="","",'Model inputs'!Q6)</f>
        <v>74.64911186130696</v>
      </c>
      <c r="R172" s="6">
        <f>IF('Model inputs'!R6="","",'Model inputs'!R6)</f>
        <v>81.31933070294505</v>
      </c>
      <c r="S172" s="6">
        <f>IF('Model inputs'!S6="","",'Model inputs'!S6)</f>
        <v>88.23492758920787</v>
      </c>
      <c r="T172" s="6">
        <f>IF('Model inputs'!T6="","",'Model inputs'!T6)</f>
        <v>95.41081540925036</v>
      </c>
      <c r="U172" s="6">
        <f>IF('Model inputs'!U6="","",'Model inputs'!U6)</f>
        <v>102.86257337707751</v>
      </c>
      <c r="V172" s="6">
        <f>IF('Model inputs'!V6="","",'Model inputs'!V6)</f>
        <v>110.60648272737507</v>
      </c>
      <c r="W172" s="6">
        <f>IF('Model inputs'!W6="","",'Model inputs'!W6)</f>
        <v>118.6595641247442</v>
      </c>
      <c r="X172" s="6">
        <f>IF('Model inputs'!X6="","",'Model inputs'!X6)</f>
        <v>127.03961687415178</v>
      </c>
      <c r="Y172" s="6">
        <f>IF('Model inputs'!Y6="","",'Model inputs'!Y6)</f>
        <v>135.76526002473463</v>
      </c>
      <c r="Z172" s="6">
        <f>IF('Model inputs'!Z6="","",'Model inputs'!Z6)</f>
        <v>144.85597546364033</v>
      </c>
      <c r="AA172" s="6">
        <f>IF('Model inputs'!AA6="","",'Model inputs'!AA6)</f>
        <v>154.33215310136129</v>
      </c>
      <c r="AD172" s="6">
        <f>SUM('Model inputs'!AD173,'Model inputs'!AD174,'Model inputs'!AD175)</f>
        <v>0</v>
      </c>
      <c r="AE172" s="6">
        <f>SUM('Model inputs'!AE173,'Model inputs'!AE174,'Model inputs'!AE175)</f>
        <v>0</v>
      </c>
      <c r="AF172" s="6">
        <f>SUM('Model inputs'!AF173,'Model inputs'!AF174,'Model inputs'!AF175)</f>
        <v>0</v>
      </c>
      <c r="AG172" s="6">
        <f>SUM('Model inputs'!AG173,'Model inputs'!AG174,'Model inputs'!AG175)</f>
        <v>0</v>
      </c>
      <c r="AH172" s="6">
        <f>SUM('Model inputs'!AH173,'Model inputs'!AH174,'Model inputs'!AH175)</f>
        <v>0</v>
      </c>
      <c r="AI172" s="6">
        <f>SUM('Model inputs'!AI173,'Model inputs'!AI174,'Model inputs'!AI175)</f>
        <v>0</v>
      </c>
      <c r="AJ172" s="6">
        <f>SUM('Model inputs'!AJ173,'Model inputs'!AJ174,'Model inputs'!AJ175)</f>
        <v>0</v>
      </c>
      <c r="AK172" s="6">
        <f>SUM('Model inputs'!AK173,'Model inputs'!AK174,'Model inputs'!AK175)</f>
        <v>0</v>
      </c>
    </row>
    <row r="173" outlineLevel="1">
      <c r="A173" t="inlineStr" s="24">
        <is>
          <t xml:space="preserve">Active subscriptions &gt; Agency</t>
        </is>
      </c>
      <c r="B173" s="9">
        <f>IF('Model inputs'!B7="","",'Model inputs'!B7)</f>
        <v>0</v>
      </c>
      <c r="C173" s="9">
        <f>IF('Model inputs'!C7="","",'Model inputs'!C7)</f>
        <v>0</v>
      </c>
      <c r="D173" s="9">
        <f>IF('Model inputs'!D7="","",'Model inputs'!D7)</f>
        <v>0.5</v>
      </c>
      <c r="E173" s="9">
        <f>IF('Model inputs'!E7="","",'Model inputs'!E7)</f>
        <v>1.01</v>
      </c>
      <c r="F173" s="9">
        <f>IF('Model inputs'!F7="","",'Model inputs'!F7)</f>
        <v>1.53095</v>
      </c>
      <c r="G173" s="9">
        <f>IF('Model inputs'!G7="","",'Model inputs'!G7)</f>
        <v>2.063834</v>
      </c>
      <c r="H173" s="9">
        <f>IF('Model inputs'!H7="","",'Model inputs'!H7)</f>
        <v>2.6096721050000005</v>
      </c>
      <c r="I173" s="9">
        <f>IF('Model inputs'!I7="","",'Model inputs'!I7)</f>
        <v>3.1695227231000005</v>
      </c>
      <c r="J173" s="9">
        <f>IF('Model inputs'!J7="","",'Model inputs'!J7)</f>
        <v>3.744484861719501</v>
      </c>
      <c r="K173" s="9">
        <f>IF('Model inputs'!K7="","",'Model inputs'!K7)</f>
        <v>4.335700527196042</v>
      </c>
      <c r="L173" s="9">
        <f>IF('Model inputs'!L7="","",'Model inputs'!L7)</f>
        <v>4.944357233274692</v>
      </c>
      <c r="M173" s="9">
        <f>IF('Model inputs'!M7="","",'Model inputs'!M7)</f>
        <v>5.57169062426571</v>
      </c>
      <c r="N173" s="9">
        <f>IF('Model inputs'!N7="","",'Model inputs'!N7)</f>
        <v>6.2189872189264594</v>
      </c>
      <c r="O173" s="9">
        <f>IF('Model inputs'!O7="","",'Model inputs'!O7)</f>
        <v>6.887587281416823</v>
      </c>
      <c r="P173" s="9">
        <f>IF('Model inputs'!P7="","",'Model inputs'!P7)</f>
        <v>7.578887825985384</v>
      </c>
      <c r="Q173" s="9">
        <f>IF('Model inputs'!Q7="","",'Model inputs'!Q7)</f>
        <v>8.29434576236744</v>
      </c>
      <c r="R173" s="9">
        <f>IF('Model inputs'!R7="","",'Model inputs'!R7)</f>
        <v>9.035481189216117</v>
      </c>
      <c r="S173" s="9">
        <f>IF('Model inputs'!S7="","",'Model inputs'!S7)</f>
        <v>9.803880843245318</v>
      </c>
      <c r="T173" s="9">
        <f>IF('Model inputs'!T7="","",'Model inputs'!T7)</f>
        <v>10.601201712138929</v>
      </c>
      <c r="U173" s="9">
        <f>IF('Model inputs'!U7="","",'Model inputs'!U7)</f>
        <v>11.429174819675278</v>
      </c>
      <c r="V173" s="9">
        <f>IF('Model inputs'!V7="","",'Model inputs'!V7)</f>
        <v>12.289609191930563</v>
      </c>
      <c r="W173" s="9">
        <f>IF('Model inputs'!W7="","",'Model inputs'!W7)</f>
        <v>13.184396013860466</v>
      </c>
      <c r="X173" s="9">
        <f>IF('Model inputs'!X7="","",'Model inputs'!X7)</f>
        <v>14.115512986016864</v>
      </c>
      <c r="Y173" s="9">
        <f>IF('Model inputs'!Y7="","",'Model inputs'!Y7)</f>
        <v>15.08502889163718</v>
      </c>
      <c r="Z173" s="9">
        <f>IF('Model inputs'!Z7="","",'Model inputs'!Z7)</f>
        <v>16.095108384848928</v>
      </c>
      <c r="AA173" s="9">
        <f>IF('Model inputs'!AA7="","",'Model inputs'!AA7)</f>
        <v>17.148017011262365</v>
      </c>
      <c r="AD173" s="9">
        <f>0+'Model inputs'!AD224-'Model inputs'!AD204</f>
        <v>0</v>
      </c>
      <c r="AE173" s="9">
        <f>'Model inputs'!AD173+'Model inputs'!AE224-'Model inputs'!AE204</f>
        <v>0</v>
      </c>
      <c r="AF173" s="9">
        <f>'Model inputs'!AE173+'Model inputs'!AF224-'Model inputs'!AF204</f>
        <v>0</v>
      </c>
      <c r="AG173" s="9">
        <f>'Model inputs'!AF173+'Model inputs'!AG224-'Model inputs'!AG204</f>
        <v>0</v>
      </c>
      <c r="AH173" s="9">
        <f>'Model inputs'!AG173+'Model inputs'!AH224-'Model inputs'!AH204</f>
        <v>0</v>
      </c>
      <c r="AI173" s="9">
        <f>'Model inputs'!AH173+'Model inputs'!AI224-'Model inputs'!AI204</f>
        <v>0</v>
      </c>
      <c r="AJ173" s="9">
        <f>'Model inputs'!AI173+'Model inputs'!AJ224-'Model inputs'!AJ204</f>
        <v>0</v>
      </c>
      <c r="AK173" s="9">
        <f>'Model inputs'!AJ173+'Model inputs'!AK224-'Model inputs'!AK204</f>
        <v>0</v>
      </c>
    </row>
    <row r="174" outlineLevel="1">
      <c r="A174" t="inlineStr" s="24">
        <is>
          <t xml:space="preserve">Active subscriptions &gt; Developer</t>
        </is>
      </c>
      <c r="B174" s="9">
        <f>IF('Model inputs'!B8="","",'Model inputs'!B8)</f>
        <v>0</v>
      </c>
      <c r="C174" s="9">
        <f>IF('Model inputs'!C8="","",'Model inputs'!C8)</f>
        <v>0</v>
      </c>
      <c r="D174" s="9">
        <f>IF('Model inputs'!D8="","",'Model inputs'!D8)</f>
        <v>2</v>
      </c>
      <c r="E174" s="9">
        <f>IF('Model inputs'!E8="","",'Model inputs'!E8)</f>
        <v>4.04</v>
      </c>
      <c r="F174" s="9">
        <f>IF('Model inputs'!F8="","",'Model inputs'!F8)</f>
        <v>6.1238</v>
      </c>
      <c r="G174" s="9">
        <f>IF('Model inputs'!G8="","",'Model inputs'!G8)</f>
        <v>8.255336</v>
      </c>
      <c r="H174" s="9">
        <f>IF('Model inputs'!H8="","",'Model inputs'!H8)</f>
        <v>10.438688420000002</v>
      </c>
      <c r="I174" s="9">
        <f>IF('Model inputs'!I8="","",'Model inputs'!I8)</f>
        <v>12.678090892400002</v>
      </c>
      <c r="J174" s="9">
        <f>IF('Model inputs'!J8="","",'Model inputs'!J8)</f>
        <v>14.977939446878004</v>
      </c>
      <c r="K174" s="9">
        <f>IF('Model inputs'!K8="","",'Model inputs'!K8)</f>
        <v>17.342802108784166</v>
      </c>
      <c r="L174" s="9">
        <f>IF('Model inputs'!L8="","",'Model inputs'!L8)</f>
        <v>19.77742893309877</v>
      </c>
      <c r="M174" s="9">
        <f>IF('Model inputs'!M8="","",'Model inputs'!M8)</f>
        <v>22.28676249706284</v>
      </c>
      <c r="N174" s="9">
        <f>IF('Model inputs'!N8="","",'Model inputs'!N8)</f>
        <v>24.875948875705838</v>
      </c>
      <c r="O174" s="9">
        <f>IF('Model inputs'!O8="","",'Model inputs'!O8)</f>
        <v>27.550349125667292</v>
      </c>
      <c r="P174" s="9">
        <f>IF('Model inputs'!P8="","",'Model inputs'!P8)</f>
        <v>30.315551303941536</v>
      </c>
      <c r="Q174" s="9">
        <f>IF('Model inputs'!Q8="","",'Model inputs'!Q8)</f>
        <v>33.17738304946976</v>
      </c>
      <c r="R174" s="9">
        <f>IF('Model inputs'!R8="","",'Model inputs'!R8)</f>
        <v>36.14192475686447</v>
      </c>
      <c r="S174" s="9">
        <f>IF('Model inputs'!S8="","",'Model inputs'!S8)</f>
        <v>39.215523372981274</v>
      </c>
      <c r="T174" s="9">
        <f>IF('Model inputs'!T8="","",'Model inputs'!T8)</f>
        <v>42.404806848555715</v>
      </c>
      <c r="U174" s="9">
        <f>IF('Model inputs'!U8="","",'Model inputs'!U8)</f>
        <v>45.716699278701114</v>
      </c>
      <c r="V174" s="9">
        <f>IF('Model inputs'!V8="","",'Model inputs'!V8)</f>
        <v>49.15843676772225</v>
      </c>
      <c r="W174" s="9">
        <f>IF('Model inputs'!W8="","",'Model inputs'!W8)</f>
        <v>52.737584055441864</v>
      </c>
      <c r="X174" s="9">
        <f>IF('Model inputs'!X8="","",'Model inputs'!X8)</f>
        <v>56.462051944067454</v>
      </c>
      <c r="Y174" s="9">
        <f>IF('Model inputs'!Y8="","",'Model inputs'!Y8)</f>
        <v>60.34011556654872</v>
      </c>
      <c r="Z174" s="9">
        <f>IF('Model inputs'!Z8="","",'Model inputs'!Z8)</f>
        <v>64.38043353939571</v>
      </c>
      <c r="AA174" s="9">
        <f>IF('Model inputs'!AA8="","",'Model inputs'!AA8)</f>
        <v>68.59206804504946</v>
      </c>
      <c r="AD174" s="9">
        <f>0+'Model inputs'!AD225-'Model inputs'!AD205</f>
        <v>0</v>
      </c>
      <c r="AE174" s="9">
        <f>'Model inputs'!AD174+'Model inputs'!AE225-'Model inputs'!AE205</f>
        <v>0</v>
      </c>
      <c r="AF174" s="9">
        <f>'Model inputs'!AE174+'Model inputs'!AF225-'Model inputs'!AF205</f>
        <v>0</v>
      </c>
      <c r="AG174" s="9">
        <f>'Model inputs'!AF174+'Model inputs'!AG225-'Model inputs'!AG205</f>
        <v>0</v>
      </c>
      <c r="AH174" s="9">
        <f>'Model inputs'!AG174+'Model inputs'!AH225-'Model inputs'!AH205</f>
        <v>0</v>
      </c>
      <c r="AI174" s="9">
        <f>'Model inputs'!AH174+'Model inputs'!AI225-'Model inputs'!AI205</f>
        <v>0</v>
      </c>
      <c r="AJ174" s="9">
        <f>'Model inputs'!AI174+'Model inputs'!AJ225-'Model inputs'!AJ205</f>
        <v>0</v>
      </c>
      <c r="AK174" s="9">
        <f>'Model inputs'!AJ174+'Model inputs'!AK225-'Model inputs'!AK205</f>
        <v>0</v>
      </c>
    </row>
    <row r="175" outlineLevel="1">
      <c r="A175" t="inlineStr" s="24">
        <is>
          <t xml:space="preserve">Active subscriptions &gt; Team</t>
        </is>
      </c>
      <c r="B175" s="9">
        <f>IF('Model inputs'!B9="","",'Model inputs'!B9)</f>
        <v>0</v>
      </c>
      <c r="C175" s="9">
        <f>IF('Model inputs'!C9="","",'Model inputs'!C9)</f>
        <v>0</v>
      </c>
      <c r="D175" s="9">
        <f>IF('Model inputs'!D9="","",'Model inputs'!D9)</f>
        <v>2</v>
      </c>
      <c r="E175" s="9">
        <f>IF('Model inputs'!E9="","",'Model inputs'!E9)</f>
        <v>4.04</v>
      </c>
      <c r="F175" s="9">
        <f>IF('Model inputs'!F9="","",'Model inputs'!F9)</f>
        <v>6.1238</v>
      </c>
      <c r="G175" s="9">
        <f>IF('Model inputs'!G9="","",'Model inputs'!G9)</f>
        <v>8.255336</v>
      </c>
      <c r="H175" s="9">
        <f>IF('Model inputs'!H9="","",'Model inputs'!H9)</f>
        <v>10.438688420000002</v>
      </c>
      <c r="I175" s="9">
        <f>IF('Model inputs'!I9="","",'Model inputs'!I9)</f>
        <v>12.678090892400002</v>
      </c>
      <c r="J175" s="9">
        <f>IF('Model inputs'!J9="","",'Model inputs'!J9)</f>
        <v>14.977939446878004</v>
      </c>
      <c r="K175" s="9">
        <f>IF('Model inputs'!K9="","",'Model inputs'!K9)</f>
        <v>17.342802108784166</v>
      </c>
      <c r="L175" s="9">
        <f>IF('Model inputs'!L9="","",'Model inputs'!L9)</f>
        <v>19.77742893309877</v>
      </c>
      <c r="M175" s="9">
        <f>IF('Model inputs'!M9="","",'Model inputs'!M9)</f>
        <v>22.28676249706284</v>
      </c>
      <c r="N175" s="9">
        <f>IF('Model inputs'!N9="","",'Model inputs'!N9)</f>
        <v>24.875948875705838</v>
      </c>
      <c r="O175" s="9">
        <f>IF('Model inputs'!O9="","",'Model inputs'!O9)</f>
        <v>27.550349125667292</v>
      </c>
      <c r="P175" s="9">
        <f>IF('Model inputs'!P9="","",'Model inputs'!P9)</f>
        <v>30.315551303941536</v>
      </c>
      <c r="Q175" s="9">
        <f>IF('Model inputs'!Q9="","",'Model inputs'!Q9)</f>
        <v>33.17738304946976</v>
      </c>
      <c r="R175" s="9">
        <f>IF('Model inputs'!R9="","",'Model inputs'!R9)</f>
        <v>36.14192475686447</v>
      </c>
      <c r="S175" s="9">
        <f>IF('Model inputs'!S9="","",'Model inputs'!S9)</f>
        <v>39.215523372981274</v>
      </c>
      <c r="T175" s="9">
        <f>IF('Model inputs'!T9="","",'Model inputs'!T9)</f>
        <v>42.404806848555715</v>
      </c>
      <c r="U175" s="9">
        <f>IF('Model inputs'!U9="","",'Model inputs'!U9)</f>
        <v>45.716699278701114</v>
      </c>
      <c r="V175" s="9">
        <f>IF('Model inputs'!V9="","",'Model inputs'!V9)</f>
        <v>49.15843676772225</v>
      </c>
      <c r="W175" s="9">
        <f>IF('Model inputs'!W9="","",'Model inputs'!W9)</f>
        <v>52.737584055441864</v>
      </c>
      <c r="X175" s="9">
        <f>IF('Model inputs'!X9="","",'Model inputs'!X9)</f>
        <v>56.462051944067454</v>
      </c>
      <c r="Y175" s="9">
        <f>IF('Model inputs'!Y9="","",'Model inputs'!Y9)</f>
        <v>60.34011556654872</v>
      </c>
      <c r="Z175" s="9">
        <f>IF('Model inputs'!Z9="","",'Model inputs'!Z9)</f>
        <v>64.38043353939571</v>
      </c>
      <c r="AA175" s="9">
        <f>IF('Model inputs'!AA9="","",'Model inputs'!AA9)</f>
        <v>68.59206804504946</v>
      </c>
      <c r="AD175" s="9">
        <f>0+'Model inputs'!AD226-'Model inputs'!AD206</f>
        <v>0</v>
      </c>
      <c r="AE175" s="9">
        <f>'Model inputs'!AD175+'Model inputs'!AE226-'Model inputs'!AE206</f>
        <v>0</v>
      </c>
      <c r="AF175" s="9">
        <f>'Model inputs'!AE175+'Model inputs'!AF226-'Model inputs'!AF206</f>
        <v>0</v>
      </c>
      <c r="AG175" s="9">
        <f>'Model inputs'!AF175+'Model inputs'!AG226-'Model inputs'!AG206</f>
        <v>0</v>
      </c>
      <c r="AH175" s="9">
        <f>'Model inputs'!AG175+'Model inputs'!AH226-'Model inputs'!AH206</f>
        <v>0</v>
      </c>
      <c r="AI175" s="9">
        <f>'Model inputs'!AH175+'Model inputs'!AI226-'Model inputs'!AI206</f>
        <v>0</v>
      </c>
      <c r="AJ175" s="9">
        <f>'Model inputs'!AI175+'Model inputs'!AJ226-'Model inputs'!AJ206</f>
        <v>0</v>
      </c>
      <c r="AK175" s="9">
        <f>'Model inputs'!AJ175+'Model inputs'!AK226-'Model inputs'!AK206</f>
        <v>0</v>
      </c>
    </row>
    <row r="176">
      <c r="A176" t="inlineStr" s="23">
        <is>
          <t xml:space="preserve">Active subscriptions</t>
        </is>
      </c>
      <c r="B176" s="6">
        <f>IF('Model inputs'!B10="","",'Model inputs'!B10)</f>
        <v>0</v>
      </c>
      <c r="C176" s="6">
        <f>IF('Model inputs'!C10="","",'Model inputs'!C10)</f>
        <v>0</v>
      </c>
      <c r="D176" s="6">
        <f>IF('Model inputs'!D10="","",'Model inputs'!D10)</f>
        <v>2.25</v>
      </c>
      <c r="E176" s="6">
        <f>IF('Model inputs'!E10="","",'Model inputs'!E10)</f>
        <v>4.3875</v>
      </c>
      <c r="F176" s="6">
        <f>IF('Model inputs'!F10="","",'Model inputs'!F10)</f>
        <v>6.418125</v>
      </c>
      <c r="G176" s="6">
        <f>IF('Model inputs'!G10="","",'Model inputs'!G10)</f>
        <v>8.34721875</v>
      </c>
      <c r="H176" s="6">
        <f>IF('Model inputs'!H10="","",'Model inputs'!H10)</f>
        <v>10.1798578125</v>
      </c>
      <c r="I176" s="6">
        <f>IF('Model inputs'!I10="","",'Model inputs'!I10)</f>
        <v>11.920864921875001</v>
      </c>
      <c r="J176" s="6">
        <f>IF('Model inputs'!J10="","",'Model inputs'!J10)</f>
        <v>13.574821675781251</v>
      </c>
      <c r="K176" s="6">
        <f>IF('Model inputs'!K10="","",'Model inputs'!K10)</f>
        <v>15.146080591992188</v>
      </c>
      <c r="L176" s="6">
        <f>IF('Model inputs'!L10="","",'Model inputs'!L10)</f>
        <v>16.63877656239258</v>
      </c>
      <c r="M176" s="6">
        <f>IF('Model inputs'!M10="","",'Model inputs'!M10)</f>
        <v>18.05683773427295</v>
      </c>
      <c r="N176" s="6">
        <f>IF('Model inputs'!N10="","",'Model inputs'!N10)</f>
        <v>19.4039958475593</v>
      </c>
      <c r="O176" s="6">
        <f>IF('Model inputs'!O10="","",'Model inputs'!O10)</f>
        <v>20.683796055181336</v>
      </c>
      <c r="P176" s="6">
        <f>IF('Model inputs'!P10="","",'Model inputs'!P10)</f>
        <v>21.899606252422274</v>
      </c>
      <c r="Q176" s="6">
        <f>IF('Model inputs'!Q10="","",'Model inputs'!Q10)</f>
        <v>23.05462593980116</v>
      </c>
      <c r="R176" s="6">
        <f>IF('Model inputs'!R10="","",'Model inputs'!R10)</f>
        <v>24.1518946428111</v>
      </c>
      <c r="S176" s="6">
        <f>IF('Model inputs'!S10="","",'Model inputs'!S10)</f>
        <v>25.194299910670544</v>
      </c>
      <c r="T176" s="6">
        <f>IF('Model inputs'!T10="","",'Model inputs'!T10)</f>
        <v>26.18458491513702</v>
      </c>
      <c r="U176" s="6">
        <f>IF('Model inputs'!U10="","",'Model inputs'!U10)</f>
        <v>27.125355669380166</v>
      </c>
      <c r="V176" s="6">
        <f>IF('Model inputs'!V10="","",'Model inputs'!V10)</f>
        <v>28.01908788591116</v>
      </c>
      <c r="W176" s="6">
        <f>IF('Model inputs'!W10="","",'Model inputs'!W10)</f>
        <v>28.868133491615602</v>
      </c>
      <c r="X176" s="6">
        <f>IF('Model inputs'!X10="","",'Model inputs'!X10)</f>
        <v>29.674726817034824</v>
      </c>
      <c r="Y176" s="6">
        <f>IF('Model inputs'!Y10="","",'Model inputs'!Y10)</f>
        <v>30.44099047618308</v>
      </c>
      <c r="Z176" s="6">
        <f>IF('Model inputs'!Z10="","",'Model inputs'!Z10)</f>
        <v>31.16894095237393</v>
      </c>
      <c r="AA176" s="6">
        <f>IF('Model inputs'!AA10="","",'Model inputs'!AA10)</f>
        <v>31.86049390475523</v>
      </c>
      <c r="AD176" s="6">
        <f>SUM('Model inputs'!AD177,'Model inputs'!AD178,'Model inputs'!AD179)</f>
        <v>0</v>
      </c>
      <c r="AE176" s="6">
        <f>SUM('Model inputs'!AE177,'Model inputs'!AE178,'Model inputs'!AE179)</f>
        <v>0</v>
      </c>
      <c r="AF176" s="6">
        <f>SUM('Model inputs'!AF177,'Model inputs'!AF178,'Model inputs'!AF179)</f>
        <v>0</v>
      </c>
      <c r="AG176" s="6">
        <f>SUM('Model inputs'!AG177,'Model inputs'!AG178,'Model inputs'!AG179)</f>
        <v>0</v>
      </c>
      <c r="AH176" s="6">
        <f>SUM('Model inputs'!AH177,'Model inputs'!AH178,'Model inputs'!AH179)</f>
        <v>0</v>
      </c>
      <c r="AI176" s="6">
        <f>SUM('Model inputs'!AI177,'Model inputs'!AI178,'Model inputs'!AI179)</f>
        <v>0</v>
      </c>
      <c r="AJ176" s="6">
        <f>SUM('Model inputs'!AJ177,'Model inputs'!AJ178,'Model inputs'!AJ179)</f>
        <v>0</v>
      </c>
      <c r="AK176" s="6">
        <f>SUM('Model inputs'!AK177,'Model inputs'!AK178,'Model inputs'!AK179)</f>
        <v>0</v>
      </c>
    </row>
    <row r="177" outlineLevel="1">
      <c r="A177" t="inlineStr" s="24">
        <is>
          <t xml:space="preserve">Active subscriptions &gt; Agency</t>
        </is>
      </c>
      <c r="B177" s="9">
        <f>IF('Model inputs'!B11="","",'Model inputs'!B11)</f>
        <v>0</v>
      </c>
      <c r="C177" s="9">
        <f>IF('Model inputs'!C11="","",'Model inputs'!C11)</f>
        <v>0</v>
      </c>
      <c r="D177" s="9">
        <f>IF('Model inputs'!D11="","",'Model inputs'!D11)</f>
        <v>0.25</v>
      </c>
      <c r="E177" s="9">
        <f>IF('Model inputs'!E11="","",'Model inputs'!E11)</f>
        <v>0.4875</v>
      </c>
      <c r="F177" s="9">
        <f>IF('Model inputs'!F11="","",'Model inputs'!F11)</f>
        <v>0.713125</v>
      </c>
      <c r="G177" s="9">
        <f>IF('Model inputs'!G11="","",'Model inputs'!G11)</f>
        <v>0.9274687500000001</v>
      </c>
      <c r="H177" s="9">
        <f>IF('Model inputs'!H11="","",'Model inputs'!H11)</f>
        <v>1.1310953125</v>
      </c>
      <c r="I177" s="9">
        <f>IF('Model inputs'!I11="","",'Model inputs'!I11)</f>
        <v>1.324540546875</v>
      </c>
      <c r="J177" s="9">
        <f>IF('Model inputs'!J11="","",'Model inputs'!J11)</f>
        <v>1.50831351953125</v>
      </c>
      <c r="K177" s="9">
        <f>IF('Model inputs'!K11="","",'Model inputs'!K11)</f>
        <v>1.6828978435546875</v>
      </c>
      <c r="L177" s="9">
        <f>IF('Model inputs'!L11="","",'Model inputs'!L11)</f>
        <v>1.8487529513769532</v>
      </c>
      <c r="M177" s="9">
        <f>IF('Model inputs'!M11="","",'Model inputs'!M11)</f>
        <v>2.0063153038081056</v>
      </c>
      <c r="N177" s="9">
        <f>IF('Model inputs'!N11="","",'Model inputs'!N11)</f>
        <v>2.1559995386177</v>
      </c>
      <c r="O177" s="9">
        <f>IF('Model inputs'!O11="","",'Model inputs'!O11)</f>
        <v>2.298199561686815</v>
      </c>
      <c r="P177" s="9">
        <f>IF('Model inputs'!P11="","",'Model inputs'!P11)</f>
        <v>2.4332895836024746</v>
      </c>
      <c r="Q177" s="9">
        <f>IF('Model inputs'!Q11="","",'Model inputs'!Q11)</f>
        <v>2.561625104422351</v>
      </c>
      <c r="R177" s="9">
        <f>IF('Model inputs'!R11="","",'Model inputs'!R11)</f>
        <v>2.6835438492012336</v>
      </c>
      <c r="S177" s="9">
        <f>IF('Model inputs'!S11="","",'Model inputs'!S11)</f>
        <v>2.7993666567411717</v>
      </c>
      <c r="T177" s="9">
        <f>IF('Model inputs'!T11="","",'Model inputs'!T11)</f>
        <v>2.9093983239041132</v>
      </c>
      <c r="U177" s="9">
        <f>IF('Model inputs'!U11="","",'Model inputs'!U11)</f>
        <v>3.0139284077089075</v>
      </c>
      <c r="V177" s="9">
        <f>IF('Model inputs'!V11="","",'Model inputs'!V11)</f>
        <v>3.113231987323462</v>
      </c>
      <c r="W177" s="9">
        <f>IF('Model inputs'!W11="","",'Model inputs'!W11)</f>
        <v>3.207570387957289</v>
      </c>
      <c r="X177" s="9">
        <f>IF('Model inputs'!X11="","",'Model inputs'!X11)</f>
        <v>3.2971918685594246</v>
      </c>
      <c r="Y177" s="9">
        <f>IF('Model inputs'!Y11="","",'Model inputs'!Y11)</f>
        <v>3.3823322751314535</v>
      </c>
      <c r="Z177" s="9">
        <f>IF('Model inputs'!Z11="","",'Model inputs'!Z11)</f>
        <v>3.463215661374881</v>
      </c>
      <c r="AA177" s="9">
        <f>IF('Model inputs'!AA11="","",'Model inputs'!AA11)</f>
        <v>3.5400548783061367</v>
      </c>
      <c r="AD177" s="9">
        <f>0+'Model inputs'!AD228-'Model inputs'!AD208</f>
        <v>0</v>
      </c>
      <c r="AE177" s="9">
        <f>'Model inputs'!AD177+'Model inputs'!AE228-'Model inputs'!AE208</f>
        <v>0</v>
      </c>
      <c r="AF177" s="9">
        <f>'Model inputs'!AE177+'Model inputs'!AF228-'Model inputs'!AF208</f>
        <v>0</v>
      </c>
      <c r="AG177" s="9">
        <f>'Model inputs'!AF177+'Model inputs'!AG228-'Model inputs'!AG208</f>
        <v>0</v>
      </c>
      <c r="AH177" s="9">
        <f>'Model inputs'!AG177+'Model inputs'!AH228-'Model inputs'!AH208</f>
        <v>0</v>
      </c>
      <c r="AI177" s="9">
        <f>'Model inputs'!AH177+'Model inputs'!AI228-'Model inputs'!AI208</f>
        <v>0</v>
      </c>
      <c r="AJ177" s="9">
        <f>'Model inputs'!AI177+'Model inputs'!AJ228-'Model inputs'!AJ208</f>
        <v>0</v>
      </c>
      <c r="AK177" s="9">
        <f>'Model inputs'!AJ177+'Model inputs'!AK228-'Model inputs'!AK208</f>
        <v>0</v>
      </c>
    </row>
    <row r="178" outlineLevel="1">
      <c r="A178" t="inlineStr" s="24">
        <is>
          <t xml:space="preserve">Active subscriptions &gt; Developer</t>
        </is>
      </c>
      <c r="B178" s="9">
        <f>IF('Model inputs'!B12="","",'Model inputs'!B12)</f>
        <v>0</v>
      </c>
      <c r="C178" s="9">
        <f>IF('Model inputs'!C12="","",'Model inputs'!C12)</f>
        <v>0</v>
      </c>
      <c r="D178" s="9">
        <f>IF('Model inputs'!D12="","",'Model inputs'!D12)</f>
        <v>1</v>
      </c>
      <c r="E178" s="9">
        <f>IF('Model inputs'!E12="","",'Model inputs'!E12)</f>
        <v>1.95</v>
      </c>
      <c r="F178" s="9">
        <f>IF('Model inputs'!F12="","",'Model inputs'!F12)</f>
        <v>2.8525</v>
      </c>
      <c r="G178" s="9">
        <f>IF('Model inputs'!G12="","",'Model inputs'!G12)</f>
        <v>3.7098750000000003</v>
      </c>
      <c r="H178" s="9">
        <f>IF('Model inputs'!H12="","",'Model inputs'!H12)</f>
        <v>4.52438125</v>
      </c>
      <c r="I178" s="9">
        <f>IF('Model inputs'!I12="","",'Model inputs'!I12)</f>
        <v>5.2981621875</v>
      </c>
      <c r="J178" s="9">
        <f>IF('Model inputs'!J12="","",'Model inputs'!J12)</f>
        <v>6.033254078125</v>
      </c>
      <c r="K178" s="9">
        <f>IF('Model inputs'!K12="","",'Model inputs'!K12)</f>
        <v>6.73159137421875</v>
      </c>
      <c r="L178" s="9">
        <f>IF('Model inputs'!L12="","",'Model inputs'!L12)</f>
        <v>7.395011805507813</v>
      </c>
      <c r="M178" s="9">
        <f>IF('Model inputs'!M12="","",'Model inputs'!M12)</f>
        <v>8.025261215232423</v>
      </c>
      <c r="N178" s="9">
        <f>IF('Model inputs'!N12="","",'Model inputs'!N12)</f>
        <v>8.6239981544708</v>
      </c>
      <c r="O178" s="9">
        <f>IF('Model inputs'!O12="","",'Model inputs'!O12)</f>
        <v>9.19279824674726</v>
      </c>
      <c r="P178" s="9">
        <f>IF('Model inputs'!P12="","",'Model inputs'!P12)</f>
        <v>9.733158334409898</v>
      </c>
      <c r="Q178" s="9">
        <f>IF('Model inputs'!Q12="","",'Model inputs'!Q12)</f>
        <v>10.246500417689404</v>
      </c>
      <c r="R178" s="9">
        <f>IF('Model inputs'!R12="","",'Model inputs'!R12)</f>
        <v>10.734175396804934</v>
      </c>
      <c r="S178" s="9">
        <f>IF('Model inputs'!S12="","",'Model inputs'!S12)</f>
        <v>11.197466626964687</v>
      </c>
      <c r="T178" s="9">
        <f>IF('Model inputs'!T12="","",'Model inputs'!T12)</f>
        <v>11.637593295616453</v>
      </c>
      <c r="U178" s="9">
        <f>IF('Model inputs'!U12="","",'Model inputs'!U12)</f>
        <v>12.05571363083563</v>
      </c>
      <c r="V178" s="9">
        <f>IF('Model inputs'!V12="","",'Model inputs'!V12)</f>
        <v>12.452927949293848</v>
      </c>
      <c r="W178" s="9">
        <f>IF('Model inputs'!W12="","",'Model inputs'!W12)</f>
        <v>12.830281551829156</v>
      </c>
      <c r="X178" s="9">
        <f>IF('Model inputs'!X12="","",'Model inputs'!X12)</f>
        <v>13.188767474237698</v>
      </c>
      <c r="Y178" s="9">
        <f>IF('Model inputs'!Y12="","",'Model inputs'!Y12)</f>
        <v>13.529329100525814</v>
      </c>
      <c r="Z178" s="9">
        <f>IF('Model inputs'!Z12="","",'Model inputs'!Z12)</f>
        <v>13.852862645499524</v>
      </c>
      <c r="AA178" s="9">
        <f>IF('Model inputs'!AA12="","",'Model inputs'!AA12)</f>
        <v>14.160219513224547</v>
      </c>
      <c r="AD178" s="9">
        <f>0+'Model inputs'!AD229-'Model inputs'!AD209</f>
        <v>0</v>
      </c>
      <c r="AE178" s="9">
        <f>'Model inputs'!AD178+'Model inputs'!AE229-'Model inputs'!AE209</f>
        <v>0</v>
      </c>
      <c r="AF178" s="9">
        <f>'Model inputs'!AE178+'Model inputs'!AF229-'Model inputs'!AF209</f>
        <v>0</v>
      </c>
      <c r="AG178" s="9">
        <f>'Model inputs'!AF178+'Model inputs'!AG229-'Model inputs'!AG209</f>
        <v>0</v>
      </c>
      <c r="AH178" s="9">
        <f>'Model inputs'!AG178+'Model inputs'!AH229-'Model inputs'!AH209</f>
        <v>0</v>
      </c>
      <c r="AI178" s="9">
        <f>'Model inputs'!AH178+'Model inputs'!AI229-'Model inputs'!AI209</f>
        <v>0</v>
      </c>
      <c r="AJ178" s="9">
        <f>'Model inputs'!AI178+'Model inputs'!AJ229-'Model inputs'!AJ209</f>
        <v>0</v>
      </c>
      <c r="AK178" s="9">
        <f>'Model inputs'!AJ178+'Model inputs'!AK229-'Model inputs'!AK209</f>
        <v>0</v>
      </c>
    </row>
    <row r="179" outlineLevel="1">
      <c r="A179" t="inlineStr" s="24">
        <is>
          <t xml:space="preserve">Active subscriptions &gt; Team</t>
        </is>
      </c>
      <c r="B179" s="9">
        <f>IF('Model inputs'!B13="","",'Model inputs'!B13)</f>
        <v>0</v>
      </c>
      <c r="C179" s="9">
        <f>IF('Model inputs'!C13="","",'Model inputs'!C13)</f>
        <v>0</v>
      </c>
      <c r="D179" s="9">
        <f>IF('Model inputs'!D13="","",'Model inputs'!D13)</f>
        <v>1</v>
      </c>
      <c r="E179" s="9">
        <f>IF('Model inputs'!E13="","",'Model inputs'!E13)</f>
        <v>1.95</v>
      </c>
      <c r="F179" s="9">
        <f>IF('Model inputs'!F13="","",'Model inputs'!F13)</f>
        <v>2.8525</v>
      </c>
      <c r="G179" s="9">
        <f>IF('Model inputs'!G13="","",'Model inputs'!G13)</f>
        <v>3.7098750000000003</v>
      </c>
      <c r="H179" s="9">
        <f>IF('Model inputs'!H13="","",'Model inputs'!H13)</f>
        <v>4.52438125</v>
      </c>
      <c r="I179" s="9">
        <f>IF('Model inputs'!I13="","",'Model inputs'!I13)</f>
        <v>5.2981621875</v>
      </c>
      <c r="J179" s="9">
        <f>IF('Model inputs'!J13="","",'Model inputs'!J13)</f>
        <v>6.033254078125</v>
      </c>
      <c r="K179" s="9">
        <f>IF('Model inputs'!K13="","",'Model inputs'!K13)</f>
        <v>6.73159137421875</v>
      </c>
      <c r="L179" s="9">
        <f>IF('Model inputs'!L13="","",'Model inputs'!L13)</f>
        <v>7.395011805507813</v>
      </c>
      <c r="M179" s="9">
        <f>IF('Model inputs'!M13="","",'Model inputs'!M13)</f>
        <v>8.025261215232423</v>
      </c>
      <c r="N179" s="9">
        <f>IF('Model inputs'!N13="","",'Model inputs'!N13)</f>
        <v>8.6239981544708</v>
      </c>
      <c r="O179" s="9">
        <f>IF('Model inputs'!O13="","",'Model inputs'!O13)</f>
        <v>9.19279824674726</v>
      </c>
      <c r="P179" s="9">
        <f>IF('Model inputs'!P13="","",'Model inputs'!P13)</f>
        <v>9.733158334409898</v>
      </c>
      <c r="Q179" s="9">
        <f>IF('Model inputs'!Q13="","",'Model inputs'!Q13)</f>
        <v>10.246500417689404</v>
      </c>
      <c r="R179" s="9">
        <f>IF('Model inputs'!R13="","",'Model inputs'!R13)</f>
        <v>10.734175396804934</v>
      </c>
      <c r="S179" s="9">
        <f>IF('Model inputs'!S13="","",'Model inputs'!S13)</f>
        <v>11.197466626964687</v>
      </c>
      <c r="T179" s="9">
        <f>IF('Model inputs'!T13="","",'Model inputs'!T13)</f>
        <v>11.637593295616453</v>
      </c>
      <c r="U179" s="9">
        <f>IF('Model inputs'!U13="","",'Model inputs'!U13)</f>
        <v>12.05571363083563</v>
      </c>
      <c r="V179" s="9">
        <f>IF('Model inputs'!V13="","",'Model inputs'!V13)</f>
        <v>12.452927949293848</v>
      </c>
      <c r="W179" s="9">
        <f>IF('Model inputs'!W13="","",'Model inputs'!W13)</f>
        <v>12.830281551829156</v>
      </c>
      <c r="X179" s="9">
        <f>IF('Model inputs'!X13="","",'Model inputs'!X13)</f>
        <v>13.188767474237698</v>
      </c>
      <c r="Y179" s="9">
        <f>IF('Model inputs'!Y13="","",'Model inputs'!Y13)</f>
        <v>13.529329100525814</v>
      </c>
      <c r="Z179" s="9">
        <f>IF('Model inputs'!Z13="","",'Model inputs'!Z13)</f>
        <v>13.852862645499524</v>
      </c>
      <c r="AA179" s="9">
        <f>IF('Model inputs'!AA13="","",'Model inputs'!AA13)</f>
        <v>14.160219513224547</v>
      </c>
      <c r="AD179" s="9">
        <f>0+'Model inputs'!AD230-'Model inputs'!AD210</f>
        <v>0</v>
      </c>
      <c r="AE179" s="9">
        <f>'Model inputs'!AD179+'Model inputs'!AE230-'Model inputs'!AE210</f>
        <v>0</v>
      </c>
      <c r="AF179" s="9">
        <f>'Model inputs'!AE179+'Model inputs'!AF230-'Model inputs'!AF210</f>
        <v>0</v>
      </c>
      <c r="AG179" s="9">
        <f>'Model inputs'!AF179+'Model inputs'!AG230-'Model inputs'!AG210</f>
        <v>0</v>
      </c>
      <c r="AH179" s="9">
        <f>'Model inputs'!AG179+'Model inputs'!AH230-'Model inputs'!AH210</f>
        <v>0</v>
      </c>
      <c r="AI179" s="9">
        <f>'Model inputs'!AH179+'Model inputs'!AI230-'Model inputs'!AI210</f>
        <v>0</v>
      </c>
      <c r="AJ179" s="9">
        <f>'Model inputs'!AI179+'Model inputs'!AJ230-'Model inputs'!AJ210</f>
        <v>0</v>
      </c>
      <c r="AK179" s="9">
        <f>'Model inputs'!AJ179+'Model inputs'!AK230-'Model inputs'!AK210</f>
        <v>0</v>
      </c>
    </row>
    <row r="180">
      <c r="A180" t="inlineStr" s="23">
        <is>
          <t xml:space="preserve">Active subscriptions</t>
        </is>
      </c>
      <c r="B180" s="6">
        <f>IF('Model inputs'!B14="","",'Model inputs'!B14)</f>
        <v>0</v>
      </c>
      <c r="C180" s="6">
        <f>IF('Model inputs'!C14="","",'Model inputs'!C14)</f>
        <v>0</v>
      </c>
      <c r="D180" s="6">
        <f>IF('Model inputs'!D14="","",'Model inputs'!D14)</f>
        <v>8</v>
      </c>
      <c r="E180" s="6">
        <f>IF('Model inputs'!E14="","",'Model inputs'!E14)</f>
        <v>16.48</v>
      </c>
      <c r="F180" s="6">
        <f>IF('Model inputs'!F14="","",'Model inputs'!F14)</f>
        <v>25.4816</v>
      </c>
      <c r="G180" s="6">
        <f>IF('Model inputs'!G14="","",'Model inputs'!G14)</f>
        <v>35.04966400000001</v>
      </c>
      <c r="H180" s="6">
        <f>IF('Model inputs'!H14="","",'Model inputs'!H14)</f>
        <v>45.23258240000001</v>
      </c>
      <c r="I180" s="6">
        <f>IF('Model inputs'!I14="","",'Model inputs'!I14)</f>
        <v>56.082555366400015</v>
      </c>
      <c r="J180" s="6">
        <f>IF('Model inputs'!J14="","",'Model inputs'!J14)</f>
        <v>67.65589884262403</v>
      </c>
      <c r="K180" s="6">
        <f>IF('Model inputs'!K14="","",'Model inputs'!K14)</f>
        <v>80.0133750160077</v>
      </c>
      <c r="L180" s="6">
        <f>IF('Model inputs'!L14="","",'Model inputs'!L14)</f>
        <v>93.2205491979426</v>
      </c>
      <c r="M180" s="6">
        <f>IF('Model inputs'!M14="","",'Model inputs'!M14)</f>
        <v>107.34817523081924</v>
      </c>
      <c r="N180" s="6">
        <f>IF('Model inputs'!N14="","",'Model inputs'!N14)</f>
        <v>122.47261170438516</v>
      </c>
      <c r="O180" s="6">
        <f>IF('Model inputs'!O14="","",'Model inputs'!O14)</f>
        <v>138.67627144673435</v>
      </c>
      <c r="P180" s="6">
        <f>IF('Model inputs'!P14="","",'Model inputs'!P14)</f>
        <v>156.0481069523515</v>
      </c>
      <c r="Q180" s="6">
        <f>IF('Model inputs'!Q14="","",'Model inputs'!Q14)</f>
        <v>174.68413462262046</v>
      </c>
      <c r="R180" s="6">
        <f>IF('Model inputs'!R14="","",'Model inputs'!R14)</f>
        <v>194.68800092422933</v>
      </c>
      <c r="S180" s="6">
        <f>IF('Model inputs'!S14="","",'Model inputs'!S14)</f>
        <v>216.17159381933095</v>
      </c>
      <c r="T180" s="6">
        <f>IF('Model inputs'!T14="","",'Model inputs'!T14)</f>
        <v>239.25570308961738</v>
      </c>
      <c r="U180" s="6">
        <f>IF('Model inputs'!U14="","",'Model inputs'!U14)</f>
        <v>264.07073346623196</v>
      </c>
      <c r="V180" s="6">
        <f>IF('Model inputs'!V14="","",'Model inputs'!V14)</f>
        <v>290.7574747903868</v>
      </c>
      <c r="W180" s="6">
        <f>IF('Model inputs'!W14="","",'Model inputs'!W14)</f>
        <v>319.46793376753686</v>
      </c>
      <c r="X180" s="6">
        <f>IF('Model inputs'!X14="","",'Model inputs'!X14)</f>
        <v>350.3662322429806</v>
      </c>
      <c r="Y180" s="6">
        <f>IF('Model inputs'!Y14="","",'Model inputs'!Y14)</f>
        <v>383.629577320979</v>
      </c>
      <c r="Z180" s="6">
        <f>IF('Model inputs'!Z14="","",'Model inputs'!Z14)</f>
        <v>419.4493090752461</v>
      </c>
      <c r="AA180" s="6">
        <f>IF('Model inputs'!AA14="","",'Model inputs'!AA14)</f>
        <v>458.03203205848286</v>
      </c>
      <c r="AD180" s="6">
        <f>SUM('Model inputs'!AD181,'Model inputs'!AD182,'Model inputs'!AD183)</f>
        <v>0</v>
      </c>
      <c r="AE180" s="6">
        <f>SUM('Model inputs'!AE181,'Model inputs'!AE182,'Model inputs'!AE183)</f>
        <v>0</v>
      </c>
      <c r="AF180" s="6">
        <f>SUM('Model inputs'!AF181,'Model inputs'!AF182,'Model inputs'!AF183)</f>
        <v>0</v>
      </c>
      <c r="AG180" s="6">
        <f>SUM('Model inputs'!AG181,'Model inputs'!AG182,'Model inputs'!AG183)</f>
        <v>0</v>
      </c>
      <c r="AH180" s="6">
        <f>SUM('Model inputs'!AH181,'Model inputs'!AH182,'Model inputs'!AH183)</f>
        <v>0</v>
      </c>
      <c r="AI180" s="6">
        <f>SUM('Model inputs'!AI181,'Model inputs'!AI182,'Model inputs'!AI183)</f>
        <v>0</v>
      </c>
      <c r="AJ180" s="6">
        <f>SUM('Model inputs'!AJ181,'Model inputs'!AJ182,'Model inputs'!AJ183)</f>
        <v>0</v>
      </c>
      <c r="AK180" s="6">
        <f>SUM('Model inputs'!AK181,'Model inputs'!AK182,'Model inputs'!AK183)</f>
        <v>0</v>
      </c>
    </row>
    <row r="181" outlineLevel="1">
      <c r="A181" t="inlineStr" s="24">
        <is>
          <t xml:space="preserve">Active subscriptions &gt; Agency</t>
        </is>
      </c>
      <c r="B181" s="9">
        <f>IF('Model inputs'!B15="","",'Model inputs'!B15)</f>
        <v>0</v>
      </c>
      <c r="C181" s="9">
        <f>IF('Model inputs'!C15="","",'Model inputs'!C15)</f>
        <v>0</v>
      </c>
      <c r="D181" s="9">
        <f>IF('Model inputs'!D15="","",'Model inputs'!D15)</f>
        <v>1</v>
      </c>
      <c r="E181" s="9">
        <f>IF('Model inputs'!E15="","",'Model inputs'!E15)</f>
        <v>2.06</v>
      </c>
      <c r="F181" s="9">
        <f>IF('Model inputs'!F15="","",'Model inputs'!F15)</f>
        <v>3.1852</v>
      </c>
      <c r="G181" s="9">
        <f>IF('Model inputs'!G15="","",'Model inputs'!G15)</f>
        <v>4.381208</v>
      </c>
      <c r="H181" s="9">
        <f>IF('Model inputs'!H15="","",'Model inputs'!H15)</f>
        <v>5.654072800000001</v>
      </c>
      <c r="I181" s="9">
        <f>IF('Model inputs'!I15="","",'Model inputs'!I15)</f>
        <v>7.010319420800002</v>
      </c>
      <c r="J181" s="9">
        <f>IF('Model inputs'!J15="","",'Model inputs'!J15)</f>
        <v>8.456987355328001</v>
      </c>
      <c r="K181" s="9">
        <f>IF('Model inputs'!K15="","",'Model inputs'!K15)</f>
        <v>10.001671877000962</v>
      </c>
      <c r="L181" s="9">
        <f>IF('Model inputs'!L15="","",'Model inputs'!L15)</f>
        <v>11.652568649742825</v>
      </c>
      <c r="M181" s="9">
        <f>IF('Model inputs'!M15="","",'Model inputs'!M15)</f>
        <v>13.418521903852403</v>
      </c>
      <c r="N181" s="9">
        <f>IF('Model inputs'!N15="","",'Model inputs'!N15)</f>
        <v>15.309076463048143</v>
      </c>
      <c r="O181" s="9">
        <f>IF('Model inputs'!O15="","",'Model inputs'!O15)</f>
        <v>17.33453393084179</v>
      </c>
      <c r="P181" s="9">
        <f>IF('Model inputs'!P15="","",'Model inputs'!P15)</f>
        <v>19.506013369043938</v>
      </c>
      <c r="Q181" s="9">
        <f>IF('Model inputs'!Q15="","",'Model inputs'!Q15)</f>
        <v>21.835516827827558</v>
      </c>
      <c r="R181" s="9">
        <f>IF('Model inputs'!R15="","",'Model inputs'!R15)</f>
        <v>24.336000115528666</v>
      </c>
      <c r="S181" s="9">
        <f>IF('Model inputs'!S15="","",'Model inputs'!S15)</f>
        <v>27.021449227416365</v>
      </c>
      <c r="T181" s="9">
        <f>IF('Model inputs'!T15="","",'Model inputs'!T15)</f>
        <v>29.906962886202173</v>
      </c>
      <c r="U181" s="9">
        <f>IF('Model inputs'!U15="","",'Model inputs'!U15)</f>
        <v>33.008841683278995</v>
      </c>
      <c r="V181" s="9">
        <f>IF('Model inputs'!V15="","",'Model inputs'!V15)</f>
        <v>36.344684348798346</v>
      </c>
      <c r="W181" s="9">
        <f>IF('Model inputs'!W15="","",'Model inputs'!W15)</f>
        <v>39.93349172094211</v>
      </c>
      <c r="X181" s="9">
        <f>IF('Model inputs'!X15="","",'Model inputs'!X15)</f>
        <v>43.79577903037257</v>
      </c>
      <c r="Y181" s="9">
        <f>IF('Model inputs'!Y15="","",'Model inputs'!Y15)</f>
        <v>47.95369716512237</v>
      </c>
      <c r="Z181" s="9">
        <f>IF('Model inputs'!Z15="","",'Model inputs'!Z15)</f>
        <v>52.431163634405756</v>
      </c>
      <c r="AA181" s="9">
        <f>IF('Model inputs'!AA15="","",'Model inputs'!AA15)</f>
        <v>57.25400400731034</v>
      </c>
      <c r="AD181" s="9">
        <f>0+'Model inputs'!AD232-'Model inputs'!AD212</f>
        <v>0</v>
      </c>
      <c r="AE181" s="9">
        <f>'Model inputs'!AD181+'Model inputs'!AE232-'Model inputs'!AE212</f>
        <v>0</v>
      </c>
      <c r="AF181" s="9">
        <f>'Model inputs'!AE181+'Model inputs'!AF232-'Model inputs'!AF212</f>
        <v>0</v>
      </c>
      <c r="AG181" s="9">
        <f>'Model inputs'!AF181+'Model inputs'!AG232-'Model inputs'!AG212</f>
        <v>0</v>
      </c>
      <c r="AH181" s="9">
        <f>'Model inputs'!AG181+'Model inputs'!AH232-'Model inputs'!AH212</f>
        <v>0</v>
      </c>
      <c r="AI181" s="9">
        <f>'Model inputs'!AH181+'Model inputs'!AI232-'Model inputs'!AI212</f>
        <v>0</v>
      </c>
      <c r="AJ181" s="9">
        <f>'Model inputs'!AI181+'Model inputs'!AJ232-'Model inputs'!AJ212</f>
        <v>0</v>
      </c>
      <c r="AK181" s="9">
        <f>'Model inputs'!AJ181+'Model inputs'!AK232-'Model inputs'!AK212</f>
        <v>0</v>
      </c>
    </row>
    <row r="182" outlineLevel="1">
      <c r="A182" t="inlineStr" s="24">
        <is>
          <t xml:space="preserve">Active subscriptions &gt; Developer</t>
        </is>
      </c>
      <c r="B182" s="9">
        <f>IF('Model inputs'!B16="","",'Model inputs'!B16)</f>
        <v>0</v>
      </c>
      <c r="C182" s="9">
        <f>IF('Model inputs'!C16="","",'Model inputs'!C16)</f>
        <v>0</v>
      </c>
      <c r="D182" s="9">
        <f>IF('Model inputs'!D16="","",'Model inputs'!D16)</f>
        <v>4</v>
      </c>
      <c r="E182" s="9">
        <f>IF('Model inputs'!E16="","",'Model inputs'!E16)</f>
        <v>8.24</v>
      </c>
      <c r="F182" s="9">
        <f>IF('Model inputs'!F16="","",'Model inputs'!F16)</f>
        <v>12.7408</v>
      </c>
      <c r="G182" s="9">
        <f>IF('Model inputs'!G16="","",'Model inputs'!G16)</f>
        <v>17.524832</v>
      </c>
      <c r="H182" s="9">
        <f>IF('Model inputs'!H16="","",'Model inputs'!H16)</f>
        <v>22.616291200000003</v>
      </c>
      <c r="I182" s="9">
        <f>IF('Model inputs'!I16="","",'Model inputs'!I16)</f>
        <v>28.041277683200008</v>
      </c>
      <c r="J182" s="9">
        <f>IF('Model inputs'!J16="","",'Model inputs'!J16)</f>
        <v>33.827949421312006</v>
      </c>
      <c r="K182" s="9">
        <f>IF('Model inputs'!K16="","",'Model inputs'!K16)</f>
        <v>40.00668750800385</v>
      </c>
      <c r="L182" s="9">
        <f>IF('Model inputs'!L16="","",'Model inputs'!L16)</f>
        <v>46.6102745989713</v>
      </c>
      <c r="M182" s="9">
        <f>IF('Model inputs'!M16="","",'Model inputs'!M16)</f>
        <v>53.67408761540961</v>
      </c>
      <c r="N182" s="9">
        <f>IF('Model inputs'!N16="","",'Model inputs'!N16)</f>
        <v>61.23630585219257</v>
      </c>
      <c r="O182" s="9">
        <f>IF('Model inputs'!O16="","",'Model inputs'!O16)</f>
        <v>69.33813572336716</v>
      </c>
      <c r="P182" s="9">
        <f>IF('Model inputs'!P16="","",'Model inputs'!P16)</f>
        <v>78.02405347617575</v>
      </c>
      <c r="Q182" s="9">
        <f>IF('Model inputs'!Q16="","",'Model inputs'!Q16)</f>
        <v>87.34206731131023</v>
      </c>
      <c r="R182" s="9">
        <f>IF('Model inputs'!R16="","",'Model inputs'!R16)</f>
        <v>97.34400046211466</v>
      </c>
      <c r="S182" s="9">
        <f>IF('Model inputs'!S16="","",'Model inputs'!S16)</f>
        <v>108.08579690966546</v>
      </c>
      <c r="T182" s="9">
        <f>IF('Model inputs'!T16="","",'Model inputs'!T16)</f>
        <v>119.62785154480869</v>
      </c>
      <c r="U182" s="9">
        <f>IF('Model inputs'!U16="","",'Model inputs'!U16)</f>
        <v>132.03536673311598</v>
      </c>
      <c r="V182" s="9">
        <f>IF('Model inputs'!V16="","",'Model inputs'!V16)</f>
        <v>145.37873739519338</v>
      </c>
      <c r="W182" s="9">
        <f>IF('Model inputs'!W16="","",'Model inputs'!W16)</f>
        <v>159.73396688376843</v>
      </c>
      <c r="X182" s="9">
        <f>IF('Model inputs'!X16="","",'Model inputs'!X16)</f>
        <v>175.1831161214903</v>
      </c>
      <c r="Y182" s="9">
        <f>IF('Model inputs'!Y16="","",'Model inputs'!Y16)</f>
        <v>191.81478866048948</v>
      </c>
      <c r="Z182" s="9">
        <f>IF('Model inputs'!Z16="","",'Model inputs'!Z16)</f>
        <v>209.72465453762302</v>
      </c>
      <c r="AA182" s="9">
        <f>IF('Model inputs'!AA16="","",'Model inputs'!AA16)</f>
        <v>229.01601602924137</v>
      </c>
      <c r="AD182" s="9">
        <f>0+'Model inputs'!AD233-'Model inputs'!AD213</f>
        <v>0</v>
      </c>
      <c r="AE182" s="9">
        <f>'Model inputs'!AD182+'Model inputs'!AE233-'Model inputs'!AE213</f>
        <v>0</v>
      </c>
      <c r="AF182" s="9">
        <f>'Model inputs'!AE182+'Model inputs'!AF233-'Model inputs'!AF213</f>
        <v>0</v>
      </c>
      <c r="AG182" s="9">
        <f>'Model inputs'!AF182+'Model inputs'!AG233-'Model inputs'!AG213</f>
        <v>0</v>
      </c>
      <c r="AH182" s="9">
        <f>'Model inputs'!AG182+'Model inputs'!AH233-'Model inputs'!AH213</f>
        <v>0</v>
      </c>
      <c r="AI182" s="9">
        <f>'Model inputs'!AH182+'Model inputs'!AI233-'Model inputs'!AI213</f>
        <v>0</v>
      </c>
      <c r="AJ182" s="9">
        <f>'Model inputs'!AI182+'Model inputs'!AJ233-'Model inputs'!AJ213</f>
        <v>0</v>
      </c>
      <c r="AK182" s="9">
        <f>'Model inputs'!AJ182+'Model inputs'!AK233-'Model inputs'!AK213</f>
        <v>0</v>
      </c>
    </row>
    <row r="183" outlineLevel="1">
      <c r="A183" t="inlineStr" s="24">
        <is>
          <t xml:space="preserve">Active subscriptions &gt; Team</t>
        </is>
      </c>
      <c r="B183" s="9">
        <f>IF('Model inputs'!B17="","",'Model inputs'!B17)</f>
        <v>0</v>
      </c>
      <c r="C183" s="9">
        <f>IF('Model inputs'!C17="","",'Model inputs'!C17)</f>
        <v>0</v>
      </c>
      <c r="D183" s="9">
        <f>IF('Model inputs'!D17="","",'Model inputs'!D17)</f>
        <v>3</v>
      </c>
      <c r="E183" s="9">
        <f>IF('Model inputs'!E17="","",'Model inputs'!E17)</f>
        <v>6.180000000000001</v>
      </c>
      <c r="F183" s="9">
        <f>IF('Model inputs'!F17="","",'Model inputs'!F17)</f>
        <v>9.555600000000002</v>
      </c>
      <c r="G183" s="9">
        <f>IF('Model inputs'!G17="","",'Model inputs'!G17)</f>
        <v>13.143624000000003</v>
      </c>
      <c r="H183" s="9">
        <f>IF('Model inputs'!H17="","",'Model inputs'!H17)</f>
        <v>16.962218400000005</v>
      </c>
      <c r="I183" s="9">
        <f>IF('Model inputs'!I17="","",'Model inputs'!I17)</f>
        <v>21.030958262400006</v>
      </c>
      <c r="J183" s="9">
        <f>IF('Model inputs'!J17="","",'Model inputs'!J17)</f>
        <v>25.37096206598401</v>
      </c>
      <c r="K183" s="9">
        <f>IF('Model inputs'!K17="","",'Model inputs'!K17)</f>
        <v>30.00501563100289</v>
      </c>
      <c r="L183" s="9">
        <f>IF('Model inputs'!L17="","",'Model inputs'!L17)</f>
        <v>34.95770594922848</v>
      </c>
      <c r="M183" s="9">
        <f>IF('Model inputs'!M17="","",'Model inputs'!M17)</f>
        <v>40.25556571155722</v>
      </c>
      <c r="N183" s="9">
        <f>IF('Model inputs'!N17="","",'Model inputs'!N17)</f>
        <v>45.92722938914444</v>
      </c>
      <c r="O183" s="9">
        <f>IF('Model inputs'!O17="","",'Model inputs'!O17)</f>
        <v>52.00360179252539</v>
      </c>
      <c r="P183" s="9">
        <f>IF('Model inputs'!P17="","",'Model inputs'!P17)</f>
        <v>58.51804010713182</v>
      </c>
      <c r="Q183" s="9">
        <f>IF('Model inputs'!Q17="","",'Model inputs'!Q17)</f>
        <v>65.50655048348267</v>
      </c>
      <c r="R183" s="9">
        <f>IF('Model inputs'!R17="","",'Model inputs'!R17)</f>
        <v>73.008000346586</v>
      </c>
      <c r="S183" s="9">
        <f>IF('Model inputs'!S17="","",'Model inputs'!S17)</f>
        <v>81.0643476822491</v>
      </c>
      <c r="T183" s="9">
        <f>IF('Model inputs'!T17="","",'Model inputs'!T17)</f>
        <v>89.72088865860653</v>
      </c>
      <c r="U183" s="9">
        <f>IF('Model inputs'!U17="","",'Model inputs'!U17)</f>
        <v>99.02652504983699</v>
      </c>
      <c r="V183" s="9">
        <f>IF('Model inputs'!V17="","",'Model inputs'!V17)</f>
        <v>109.03405304639506</v>
      </c>
      <c r="W183" s="9">
        <f>IF('Model inputs'!W17="","",'Model inputs'!W17)</f>
        <v>119.80047516282634</v>
      </c>
      <c r="X183" s="9">
        <f>IF('Model inputs'!X17="","",'Model inputs'!X17)</f>
        <v>131.38733709111776</v>
      </c>
      <c r="Y183" s="9">
        <f>IF('Model inputs'!Y17="","",'Model inputs'!Y17)</f>
        <v>143.86109149536716</v>
      </c>
      <c r="Z183" s="9">
        <f>IF('Model inputs'!Z17="","",'Model inputs'!Z17)</f>
        <v>157.29349090321733</v>
      </c>
      <c r="AA183" s="9">
        <f>IF('Model inputs'!AA17="","",'Model inputs'!AA17)</f>
        <v>171.7620120219311</v>
      </c>
      <c r="AD183" s="9">
        <f>0+'Model inputs'!AD234-'Model inputs'!AD214</f>
        <v>0</v>
      </c>
      <c r="AE183" s="9">
        <f>'Model inputs'!AD183+'Model inputs'!AE234-'Model inputs'!AE214</f>
        <v>0</v>
      </c>
      <c r="AF183" s="9">
        <f>'Model inputs'!AE183+'Model inputs'!AF234-'Model inputs'!AF214</f>
        <v>0</v>
      </c>
      <c r="AG183" s="9">
        <f>'Model inputs'!AF183+'Model inputs'!AG234-'Model inputs'!AG214</f>
        <v>0</v>
      </c>
      <c r="AH183" s="9">
        <f>'Model inputs'!AG183+'Model inputs'!AH234-'Model inputs'!AH214</f>
        <v>0</v>
      </c>
      <c r="AI183" s="9">
        <f>'Model inputs'!AH183+'Model inputs'!AI234-'Model inputs'!AI214</f>
        <v>0</v>
      </c>
      <c r="AJ183" s="9">
        <f>'Model inputs'!AI183+'Model inputs'!AJ234-'Model inputs'!AJ214</f>
        <v>0</v>
      </c>
      <c r="AK183" s="9">
        <f>'Model inputs'!AJ183+'Model inputs'!AK234-'Model inputs'!AK214</f>
        <v>0</v>
      </c>
    </row>
    <row r="184">
      <c r="A184" t="inlineStr" s="23">
        <is>
          <t xml:space="preserve">Completed runs</t>
        </is>
      </c>
      <c r="B184" s="6">
        <f>SUM('Model inputs'!B185,'Model inputs'!B186,'Model inputs'!B187)</f>
        <v>0</v>
      </c>
      <c r="C184" s="6">
        <f>IF('Model inputs'!C164="","",'Model inputs'!C164)</f>
        <v>0</v>
      </c>
      <c r="D184" s="6">
        <f>IF('Model inputs'!D164="","",'Model inputs'!D164)</f>
        <v>1100</v>
      </c>
      <c r="E184" s="6">
        <f>IF('Model inputs'!E164="","",'Model inputs'!E164)</f>
        <v>2222</v>
      </c>
      <c r="F184" s="6">
        <f>IF('Model inputs'!F164="","",'Model inputs'!F164)</f>
        <v>3368.09</v>
      </c>
      <c r="G184" s="6">
        <f>IF('Model inputs'!G164="","",'Model inputs'!G164)</f>
        <v>4540.434799999999</v>
      </c>
      <c r="H184" s="6">
        <f>IF('Model inputs'!H164="","",'Model inputs'!H164)</f>
        <v>5741.278631000001</v>
      </c>
      <c r="I184" s="6">
        <f>IF('Model inputs'!I164="","",'Model inputs'!I164)</f>
        <v>6972.949990820001</v>
      </c>
      <c r="J184" s="6">
        <f>IF('Model inputs'!J164="","",'Model inputs'!J164)</f>
        <v>8237.866695782903</v>
      </c>
      <c r="K184" s="6">
        <f>IF('Model inputs'!K164="","",'Model inputs'!K164)</f>
        <v>9538.541159831291</v>
      </c>
      <c r="L184" s="6">
        <f>IF('Model inputs'!L164="","",'Model inputs'!L164)</f>
        <v>10877.585913204322</v>
      </c>
      <c r="M184" s="6">
        <f>IF('Model inputs'!M164="","",'Model inputs'!M164)</f>
        <v>12257.719373384562</v>
      </c>
      <c r="N184" s="6">
        <f>IF('Model inputs'!N164="","",'Model inputs'!N164)</f>
        <v>13681.771881638211</v>
      </c>
      <c r="O184" s="6">
        <f>IF('Model inputs'!O164="","",'Model inputs'!O164)</f>
        <v>15152.69201911701</v>
      </c>
      <c r="P184" s="6">
        <f>IF('Model inputs'!P164="","",'Model inputs'!P164)</f>
        <v>16673.553217167842</v>
      </c>
      <c r="Q184" s="6">
        <f>IF('Model inputs'!Q164="","",'Model inputs'!Q164)</f>
        <v>18247.56067720837</v>
      </c>
      <c r="R184" s="6">
        <f>IF('Model inputs'!R164="","",'Model inputs'!R164)</f>
        <v>19878.05861627546</v>
      </c>
      <c r="S184" s="6">
        <f>IF('Model inputs'!S164="","",'Model inputs'!S164)</f>
        <v>21568.5378551397</v>
      </c>
      <c r="T184" s="6">
        <f>IF('Model inputs'!T164="","",'Model inputs'!T164)</f>
        <v>23322.643766705645</v>
      </c>
      <c r="U184" s="6">
        <f>IF('Model inputs'!U164="","",'Model inputs'!U164)</f>
        <v>25144.184603285612</v>
      </c>
      <c r="V184" s="6">
        <f>IF('Model inputs'!V164="","",'Model inputs'!V164)</f>
        <v>27037.140222247235</v>
      </c>
      <c r="W184" s="6">
        <f>IF('Model inputs'!W164="","",'Model inputs'!W164)</f>
        <v>29005.671230493026</v>
      </c>
      <c r="X184" s="6">
        <f>IF('Model inputs'!X164="","",'Model inputs'!X164)</f>
        <v>31054.128569237102</v>
      </c>
      <c r="Y184" s="6">
        <f>IF('Model inputs'!Y164="","",'Model inputs'!Y164)</f>
        <v>33187.0635616018</v>
      </c>
      <c r="Z184" s="6">
        <f>IF('Model inputs'!Z164="","",'Model inputs'!Z164)</f>
        <v>35409.23844666764</v>
      </c>
      <c r="AA184" s="6">
        <f>IF('Model inputs'!AA164="","",'Model inputs'!AA164)</f>
        <v>37725.637424777204</v>
      </c>
      <c r="AD184" s="6">
        <f>SUM('Model inputs'!AD185,'Model inputs'!AD186,'Model inputs'!AD187)</f>
        <v>0</v>
      </c>
      <c r="AE184" s="6">
        <f>SUM('Model inputs'!AE185,'Model inputs'!AE186,'Model inputs'!AE187)</f>
        <v>0</v>
      </c>
      <c r="AF184" s="6">
        <f>SUM('Model inputs'!AF185,'Model inputs'!AF186,'Model inputs'!AF187)</f>
        <v>0</v>
      </c>
      <c r="AG184" s="6">
        <f>SUM('Model inputs'!AG185,'Model inputs'!AG186,'Model inputs'!AG187)</f>
        <v>0</v>
      </c>
      <c r="AH184" s="6">
        <f>SUM('Model inputs'!AH185,'Model inputs'!AH186,'Model inputs'!AH187)</f>
        <v>0</v>
      </c>
      <c r="AI184" s="6">
        <f>SUM('Model inputs'!AI185,'Model inputs'!AI186,'Model inputs'!AI187)</f>
        <v>0</v>
      </c>
      <c r="AJ184" s="6">
        <f>SUM('Model inputs'!AJ185,'Model inputs'!AJ186,'Model inputs'!AJ187)</f>
        <v>0</v>
      </c>
      <c r="AK184" s="6">
        <f>SUM('Model inputs'!AK185,'Model inputs'!AK186,'Model inputs'!AK187)</f>
        <v>0</v>
      </c>
    </row>
    <row r="185" outlineLevel="1">
      <c r="A185" t="inlineStr" s="24">
        <is>
          <t xml:space="preserve">Completed runs &gt; Agency</t>
        </is>
      </c>
      <c r="B185" s="9">
        <f>'Model inputs'!B7*'Model inputs'!AC40*'Model inputs'!AC81</f>
        <v>0</v>
      </c>
      <c r="C185" s="9">
        <f>IF('Model inputs'!C165="","",'Model inputs'!C165)</f>
        <v>0</v>
      </c>
      <c r="D185" s="9">
        <f>IF('Model inputs'!D165="","",'Model inputs'!D165)</f>
        <v>500</v>
      </c>
      <c r="E185" s="9">
        <f>IF('Model inputs'!E165="","",'Model inputs'!E165)</f>
        <v>1010</v>
      </c>
      <c r="F185" s="9">
        <f>IF('Model inputs'!F165="","",'Model inputs'!F165)</f>
        <v>1530.95</v>
      </c>
      <c r="G185" s="9">
        <f>IF('Model inputs'!G165="","",'Model inputs'!G165)</f>
        <v>2063.834</v>
      </c>
      <c r="H185" s="9">
        <f>IF('Model inputs'!H165="","",'Model inputs'!H165)</f>
        <v>2609.6721050000006</v>
      </c>
      <c r="I185" s="9">
        <f>IF('Model inputs'!I165="","",'Model inputs'!I165)</f>
        <v>3169.5227231000003</v>
      </c>
      <c r="J185" s="9">
        <f>IF('Model inputs'!J165="","",'Model inputs'!J165)</f>
        <v>3744.484861719501</v>
      </c>
      <c r="K185" s="9">
        <f>IF('Model inputs'!K165="","",'Model inputs'!K165)</f>
        <v>4335.700527196042</v>
      </c>
      <c r="L185" s="9">
        <f>IF('Model inputs'!L165="","",'Model inputs'!L165)</f>
        <v>4944.357233274692</v>
      </c>
      <c r="M185" s="9">
        <f>IF('Model inputs'!M165="","",'Model inputs'!M165)</f>
        <v>5571.69062426571</v>
      </c>
      <c r="N185" s="9">
        <f>IF('Model inputs'!N165="","",'Model inputs'!N165)</f>
        <v>6218.98721892646</v>
      </c>
      <c r="O185" s="9">
        <f>IF('Model inputs'!O165="","",'Model inputs'!O165)</f>
        <v>6887.587281416823</v>
      </c>
      <c r="P185" s="9">
        <f>IF('Model inputs'!P165="","",'Model inputs'!P165)</f>
        <v>7578.887825985384</v>
      </c>
      <c r="Q185" s="9">
        <f>IF('Model inputs'!Q165="","",'Model inputs'!Q165)</f>
        <v>8294.34576236744</v>
      </c>
      <c r="R185" s="9">
        <f>IF('Model inputs'!R165="","",'Model inputs'!R165)</f>
        <v>9035.481189216118</v>
      </c>
      <c r="S185" s="9">
        <f>IF('Model inputs'!S165="","",'Model inputs'!S165)</f>
        <v>9803.880843245319</v>
      </c>
      <c r="T185" s="9">
        <f>IF('Model inputs'!T165="","",'Model inputs'!T165)</f>
        <v>10601.201712138929</v>
      </c>
      <c r="U185" s="9">
        <f>IF('Model inputs'!U165="","",'Model inputs'!U165)</f>
        <v>11429.174819675278</v>
      </c>
      <c r="V185" s="9">
        <f>IF('Model inputs'!V165="","",'Model inputs'!V165)</f>
        <v>12289.609191930562</v>
      </c>
      <c r="W185" s="9">
        <f>IF('Model inputs'!W165="","",'Model inputs'!W165)</f>
        <v>13184.396013860465</v>
      </c>
      <c r="X185" s="9">
        <f>IF('Model inputs'!X165="","",'Model inputs'!X165)</f>
        <v>14115.512986016864</v>
      </c>
      <c r="Y185" s="9">
        <f>IF('Model inputs'!Y165="","",'Model inputs'!Y165)</f>
        <v>15085.02889163718</v>
      </c>
      <c r="Z185" s="9">
        <f>IF('Model inputs'!Z165="","",'Model inputs'!Z165)</f>
        <v>16095.108384848927</v>
      </c>
      <c r="AA185" s="9">
        <f>IF('Model inputs'!AA165="","",'Model inputs'!AA165)</f>
        <v>17148.017011262364</v>
      </c>
      <c r="AD185" s="9">
        <f>'Model inputs'!AD173*'Model inputs'!AC40*'Model inputs'!AC81</f>
        <v>0</v>
      </c>
      <c r="AE185" s="9">
        <f>'Model inputs'!AE173*'Model inputs'!AC40*'Model inputs'!AC81</f>
        <v>0</v>
      </c>
      <c r="AF185" s="9">
        <f>'Model inputs'!AF173*'Model inputs'!AC40*'Model inputs'!AC81</f>
        <v>0</v>
      </c>
      <c r="AG185" s="9">
        <f>'Model inputs'!AG173*'Model inputs'!AC40*'Model inputs'!AC81</f>
        <v>0</v>
      </c>
      <c r="AH185" s="9">
        <f>'Model inputs'!AH173*'Model inputs'!AC40*'Model inputs'!AC81</f>
        <v>0</v>
      </c>
      <c r="AI185" s="9">
        <f>'Model inputs'!AI173*'Model inputs'!AC40*'Model inputs'!AC81</f>
        <v>0</v>
      </c>
      <c r="AJ185" s="9">
        <f>'Model inputs'!AJ173*'Model inputs'!AC40*'Model inputs'!AC81</f>
        <v>0</v>
      </c>
      <c r="AK185" s="9">
        <f>'Model inputs'!AK173*'Model inputs'!AC40*'Model inputs'!AC81</f>
        <v>0</v>
      </c>
    </row>
    <row r="186" outlineLevel="1">
      <c r="A186" t="inlineStr" s="24">
        <is>
          <t xml:space="preserve">Completed runs &gt; Developer</t>
        </is>
      </c>
      <c r="B186" s="9">
        <f>'Model inputs'!B8*'Model inputs'!AC41*'Model inputs'!AC81</f>
        <v>0</v>
      </c>
      <c r="C186" s="9">
        <f>IF('Model inputs'!C166="","",'Model inputs'!C166)</f>
        <v>0</v>
      </c>
      <c r="D186" s="9">
        <f>IF('Model inputs'!D166="","",'Model inputs'!D166)</f>
        <v>100</v>
      </c>
      <c r="E186" s="9">
        <f>IF('Model inputs'!E166="","",'Model inputs'!E166)</f>
        <v>202</v>
      </c>
      <c r="F186" s="9">
        <f>IF('Model inputs'!F166="","",'Model inputs'!F166)</f>
        <v>306.19</v>
      </c>
      <c r="G186" s="9">
        <f>IF('Model inputs'!G166="","",'Model inputs'!G166)</f>
        <v>412.7668</v>
      </c>
      <c r="H186" s="9">
        <f>IF('Model inputs'!H166="","",'Model inputs'!H166)</f>
        <v>521.934421</v>
      </c>
      <c r="I186" s="9">
        <f>IF('Model inputs'!I166="","",'Model inputs'!I166)</f>
        <v>633.9045446200001</v>
      </c>
      <c r="J186" s="9">
        <f>IF('Model inputs'!J166="","",'Model inputs'!J166)</f>
        <v>748.8969723439002</v>
      </c>
      <c r="K186" s="9">
        <f>IF('Model inputs'!K166="","",'Model inputs'!K166)</f>
        <v>867.1401054392084</v>
      </c>
      <c r="L186" s="9">
        <f>IF('Model inputs'!L166="","",'Model inputs'!L166)</f>
        <v>988.8714466549384</v>
      </c>
      <c r="M186" s="9">
        <f>IF('Model inputs'!M166="","",'Model inputs'!M166)</f>
        <v>1114.3381248531418</v>
      </c>
      <c r="N186" s="9">
        <f>IF('Model inputs'!N166="","",'Model inputs'!N166)</f>
        <v>1243.797443785292</v>
      </c>
      <c r="O186" s="9">
        <f>IF('Model inputs'!O166="","",'Model inputs'!O166)</f>
        <v>1377.5174562833647</v>
      </c>
      <c r="P186" s="9">
        <f>IF('Model inputs'!P166="","",'Model inputs'!P166)</f>
        <v>1515.777565197077</v>
      </c>
      <c r="Q186" s="9">
        <f>IF('Model inputs'!Q166="","",'Model inputs'!Q166)</f>
        <v>1658.869152473488</v>
      </c>
      <c r="R186" s="9">
        <f>IF('Model inputs'!R166="","",'Model inputs'!R166)</f>
        <v>1807.0962378432234</v>
      </c>
      <c r="S186" s="9">
        <f>IF('Model inputs'!S166="","",'Model inputs'!S166)</f>
        <v>1960.7761686490637</v>
      </c>
      <c r="T186" s="9">
        <f>IF('Model inputs'!T166="","",'Model inputs'!T166)</f>
        <v>2120.240342427786</v>
      </c>
      <c r="U186" s="9">
        <f>IF('Model inputs'!U166="","",'Model inputs'!U166)</f>
        <v>2285.834963935056</v>
      </c>
      <c r="V186" s="9">
        <f>IF('Model inputs'!V166="","",'Model inputs'!V166)</f>
        <v>2457.9218383861125</v>
      </c>
      <c r="W186" s="9">
        <f>IF('Model inputs'!W166="","",'Model inputs'!W166)</f>
        <v>2636.8792027720933</v>
      </c>
      <c r="X186" s="9">
        <f>IF('Model inputs'!X166="","",'Model inputs'!X166)</f>
        <v>2823.1025972033726</v>
      </c>
      <c r="Y186" s="9">
        <f>IF('Model inputs'!Y166="","",'Model inputs'!Y166)</f>
        <v>3017.005778327436</v>
      </c>
      <c r="Z186" s="9">
        <f>IF('Model inputs'!Z166="","",'Model inputs'!Z166)</f>
        <v>3219.0216769697854</v>
      </c>
      <c r="AA186" s="9">
        <f>IF('Model inputs'!AA166="","",'Model inputs'!AA166)</f>
        <v>3429.6034022524727</v>
      </c>
      <c r="AD186" s="9">
        <f>'Model inputs'!AD174*'Model inputs'!AC41*'Model inputs'!AC81</f>
        <v>0</v>
      </c>
      <c r="AE186" s="9">
        <f>'Model inputs'!AE174*'Model inputs'!AC41*'Model inputs'!AC81</f>
        <v>0</v>
      </c>
      <c r="AF186" s="9">
        <f>'Model inputs'!AF174*'Model inputs'!AC41*'Model inputs'!AC81</f>
        <v>0</v>
      </c>
      <c r="AG186" s="9">
        <f>'Model inputs'!AG174*'Model inputs'!AC41*'Model inputs'!AC81</f>
        <v>0</v>
      </c>
      <c r="AH186" s="9">
        <f>'Model inputs'!AH174*'Model inputs'!AC41*'Model inputs'!AC81</f>
        <v>0</v>
      </c>
      <c r="AI186" s="9">
        <f>'Model inputs'!AI174*'Model inputs'!AC41*'Model inputs'!AC81</f>
        <v>0</v>
      </c>
      <c r="AJ186" s="9">
        <f>'Model inputs'!AJ174*'Model inputs'!AC41*'Model inputs'!AC81</f>
        <v>0</v>
      </c>
      <c r="AK186" s="9">
        <f>'Model inputs'!AK174*'Model inputs'!AC41*'Model inputs'!AC81</f>
        <v>0</v>
      </c>
    </row>
    <row r="187" outlineLevel="1">
      <c r="A187" t="inlineStr" s="24">
        <is>
          <t xml:space="preserve">Completed runs &gt; Team</t>
        </is>
      </c>
      <c r="B187" s="9">
        <f>'Model inputs'!B9*'Model inputs'!AC42*'Model inputs'!AC81</f>
        <v>0</v>
      </c>
      <c r="C187" s="9">
        <f>IF('Model inputs'!C167="","",'Model inputs'!C167)</f>
        <v>0</v>
      </c>
      <c r="D187" s="9">
        <f>IF('Model inputs'!D167="","",'Model inputs'!D167)</f>
        <v>500</v>
      </c>
      <c r="E187" s="9">
        <f>IF('Model inputs'!E167="","",'Model inputs'!E167)</f>
        <v>1010</v>
      </c>
      <c r="F187" s="9">
        <f>IF('Model inputs'!F167="","",'Model inputs'!F167)</f>
        <v>1530.95</v>
      </c>
      <c r="G187" s="9">
        <f>IF('Model inputs'!G167="","",'Model inputs'!G167)</f>
        <v>2063.834</v>
      </c>
      <c r="H187" s="9">
        <f>IF('Model inputs'!H167="","",'Model inputs'!H167)</f>
        <v>2609.6721050000006</v>
      </c>
      <c r="I187" s="9">
        <f>IF('Model inputs'!I167="","",'Model inputs'!I167)</f>
        <v>3169.5227231000003</v>
      </c>
      <c r="J187" s="9">
        <f>IF('Model inputs'!J167="","",'Model inputs'!J167)</f>
        <v>3744.484861719501</v>
      </c>
      <c r="K187" s="9">
        <f>IF('Model inputs'!K167="","",'Model inputs'!K167)</f>
        <v>4335.700527196042</v>
      </c>
      <c r="L187" s="9">
        <f>IF('Model inputs'!L167="","",'Model inputs'!L167)</f>
        <v>4944.357233274692</v>
      </c>
      <c r="M187" s="9">
        <f>IF('Model inputs'!M167="","",'Model inputs'!M167)</f>
        <v>5571.69062426571</v>
      </c>
      <c r="N187" s="9">
        <f>IF('Model inputs'!N167="","",'Model inputs'!N167)</f>
        <v>6218.98721892646</v>
      </c>
      <c r="O187" s="9">
        <f>IF('Model inputs'!O167="","",'Model inputs'!O167)</f>
        <v>6887.587281416823</v>
      </c>
      <c r="P187" s="9">
        <f>IF('Model inputs'!P167="","",'Model inputs'!P167)</f>
        <v>7578.887825985384</v>
      </c>
      <c r="Q187" s="9">
        <f>IF('Model inputs'!Q167="","",'Model inputs'!Q167)</f>
        <v>8294.34576236744</v>
      </c>
      <c r="R187" s="9">
        <f>IF('Model inputs'!R167="","",'Model inputs'!R167)</f>
        <v>9035.481189216118</v>
      </c>
      <c r="S187" s="9">
        <f>IF('Model inputs'!S167="","",'Model inputs'!S167)</f>
        <v>9803.880843245319</v>
      </c>
      <c r="T187" s="9">
        <f>IF('Model inputs'!T167="","",'Model inputs'!T167)</f>
        <v>10601.201712138929</v>
      </c>
      <c r="U187" s="9">
        <f>IF('Model inputs'!U167="","",'Model inputs'!U167)</f>
        <v>11429.174819675278</v>
      </c>
      <c r="V187" s="9">
        <f>IF('Model inputs'!V167="","",'Model inputs'!V167)</f>
        <v>12289.609191930562</v>
      </c>
      <c r="W187" s="9">
        <f>IF('Model inputs'!W167="","",'Model inputs'!W167)</f>
        <v>13184.396013860465</v>
      </c>
      <c r="X187" s="9">
        <f>IF('Model inputs'!X167="","",'Model inputs'!X167)</f>
        <v>14115.512986016864</v>
      </c>
      <c r="Y187" s="9">
        <f>IF('Model inputs'!Y167="","",'Model inputs'!Y167)</f>
        <v>15085.02889163718</v>
      </c>
      <c r="Z187" s="9">
        <f>IF('Model inputs'!Z167="","",'Model inputs'!Z167)</f>
        <v>16095.108384848927</v>
      </c>
      <c r="AA187" s="9">
        <f>IF('Model inputs'!AA167="","",'Model inputs'!AA167)</f>
        <v>17148.017011262364</v>
      </c>
      <c r="AD187" s="9">
        <f>'Model inputs'!AD175*'Model inputs'!AC42*'Model inputs'!AC81</f>
        <v>0</v>
      </c>
      <c r="AE187" s="9">
        <f>'Model inputs'!AE175*'Model inputs'!AC42*'Model inputs'!AC81</f>
        <v>0</v>
      </c>
      <c r="AF187" s="9">
        <f>'Model inputs'!AF175*'Model inputs'!AC42*'Model inputs'!AC81</f>
        <v>0</v>
      </c>
      <c r="AG187" s="9">
        <f>'Model inputs'!AG175*'Model inputs'!AC42*'Model inputs'!AC81</f>
        <v>0</v>
      </c>
      <c r="AH187" s="9">
        <f>'Model inputs'!AH175*'Model inputs'!AC42*'Model inputs'!AC81</f>
        <v>0</v>
      </c>
      <c r="AI187" s="9">
        <f>'Model inputs'!AI175*'Model inputs'!AC42*'Model inputs'!AC81</f>
        <v>0</v>
      </c>
      <c r="AJ187" s="9">
        <f>'Model inputs'!AJ175*'Model inputs'!AC42*'Model inputs'!AC81</f>
        <v>0</v>
      </c>
      <c r="AK187" s="9">
        <f>'Model inputs'!AK175*'Model inputs'!AC42*'Model inputs'!AC81</f>
        <v>0</v>
      </c>
    </row>
    <row r="188">
      <c r="A188" t="inlineStr" s="23">
        <is>
          <t xml:space="preserve">Cumulative operating result · Cumulative operating result · CheckoutGuard — Business plan · Conservative base growth comparison — assumptions · Main Scenario · Main Scenario</t>
        </is>
      </c>
      <c r="B188" s="14">
        <f>IF('Model inputs'!B31="","",'Model inputs'!B31)</f>
        <v>0</v>
      </c>
      <c r="C188" s="14">
        <f>IF('Model inputs'!C31="","",'Model inputs'!C31)</f>
        <v>0</v>
      </c>
      <c r="D188" s="14">
        <f>IF('Model inputs'!D31="","",'Model inputs'!D31)</f>
        <v>-6479.00916</v>
      </c>
      <c r="E188" s="14">
        <f>IF('Model inputs'!E31="","",'Model inputs'!E31)</f>
        <v>-12630.6076632</v>
      </c>
      <c r="F188" s="14">
        <f>IF('Model inputs'!F31="","",'Model inputs'!F31)</f>
        <v>-18447.765810204</v>
      </c>
      <c r="G188" s="14">
        <f>IF('Model inputs'!G31="","",'Model inputs'!G31)</f>
        <v>-23922.82219164288</v>
      </c>
      <c r="H188" s="14">
        <f>IF('Model inputs'!H31="","",'Model inputs'!H31)</f>
        <v>-29047.460509425844</v>
      </c>
      <c r="I188" s="14">
        <f>IF('Model inputs'!I31="","",'Model inputs'!I31)</f>
        <v>-33812.684986851935</v>
      </c>
      <c r="J188" s="14">
        <f>IF('Model inputs'!J31="","",'Model inputs'!J31)</f>
        <v>-38208.79430459068</v>
      </c>
      <c r="K188" s="14">
        <f>IF('Model inputs'!K31="","",'Model inputs'!K31)</f>
        <v>-42225.35399616448</v>
      </c>
      <c r="L188" s="14">
        <f>IF('Model inputs'!L31="","",'Model inputs'!L31)</f>
        <v>-45851.16723302664</v>
      </c>
      <c r="M188" s="14">
        <f>IF('Model inputs'!M31="","",'Model inputs'!M31)</f>
        <v>-49074.243925620285</v>
      </c>
      <c r="N188" s="14">
        <f>IF('Model inputs'!N31="","",'Model inputs'!N31)</f>
        <v>-51881.76806291535</v>
      </c>
      <c r="O188" s="14">
        <f>IF('Model inputs'!O31="","",'Model inputs'!O31)</f>
        <v>-54260.063208844746</v>
      </c>
      <c r="P188" s="14">
        <f>IF('Model inputs'!P31="","",'Model inputs'!P31)</f>
        <v>-56194.5560697871</v>
      </c>
      <c r="Q188" s="14">
        <f>IF('Model inputs'!Q31="","",'Model inputs'!Q31)</f>
        <v>-57669.738042761564</v>
      </c>
      <c r="R188" s="14">
        <f>IF('Model inputs'!R31="","",'Model inputs'!R31)</f>
        <v>-58669.1246493002</v>
      </c>
      <c r="S188" s="14">
        <f>IF('Model inputs'!S31="","",'Model inputs'!S31)</f>
        <v>-59175.21275503376</v>
      </c>
      <c r="T188" s="14">
        <f>IF('Model inputs'!T31="","",'Model inputs'!T31)</f>
        <v>-59169.43546985593</v>
      </c>
      <c r="U188" s="14">
        <f>IF('Model inputs'!U31="","",'Model inputs'!U31)</f>
        <v>-58632.1146181071</v>
      </c>
      <c r="V188" s="14">
        <f>IF('Model inputs'!V31="","",'Model inputs'!V31)</f>
        <v>-57542.41066252808</v>
      </c>
      <c r="W188" s="14">
        <f>IF('Model inputs'!W31="","",'Model inputs'!W31)</f>
        <v>-55878.26995976463</v>
      </c>
      <c r="X188" s="14">
        <f>IF('Model inputs'!X31="","",'Model inputs'!X31)</f>
        <v>-53616.369218939704</v>
      </c>
      <c r="Y188" s="14">
        <f>IF('Model inputs'!Y31="","",'Model inputs'!Y31)</f>
        <v>-50732.057028237934</v>
      </c>
      <c r="Z188" s="14">
        <f>IF('Model inputs'!Z31="","",'Model inputs'!Z31)</f>
        <v>-47199.29230755053</v>
      </c>
      <c r="AA188" s="14">
        <f>IF('Model inputs'!AA31="","",'Model inputs'!AA31)</f>
        <v>-42990.57953799174</v>
      </c>
      <c r="AD188" s="14">
        <f>0+'Model inputs'!AD289</f>
        <v>0</v>
      </c>
      <c r="AE188" s="14">
        <f>'Model inputs'!AD188+'Model inputs'!AE289</f>
        <v>0</v>
      </c>
      <c r="AF188" s="14">
        <f>'Model inputs'!AE188+'Model inputs'!AF289</f>
        <v>0</v>
      </c>
      <c r="AG188" s="14">
        <f>'Model inputs'!AF188+'Model inputs'!AG289</f>
        <v>0</v>
      </c>
      <c r="AH188" s="14">
        <f>'Model inputs'!AG188+'Model inputs'!AH289</f>
        <v>0</v>
      </c>
      <c r="AI188" s="14">
        <f>'Model inputs'!AH188+'Model inputs'!AI289</f>
        <v>0</v>
      </c>
      <c r="AJ188" s="14">
        <f>'Model inputs'!AI188+'Model inputs'!AJ289</f>
        <v>0</v>
      </c>
      <c r="AK188" s="14">
        <f>'Model inputs'!AJ188+'Model inputs'!AK289</f>
        <v>0</v>
      </c>
    </row>
    <row r="189">
      <c r="A189" t="inlineStr" s="23">
        <is>
          <t xml:space="preserve">Cumulative operating result · Cumulative operating result · CheckoutGuard — Conservative · CheckoutGuard — Conservative</t>
        </is>
      </c>
      <c r="B189" s="14">
        <f>IF('Model inputs'!B32="","",'Model inputs'!B32)</f>
        <v>0</v>
      </c>
      <c r="C189" s="14">
        <f>IF('Model inputs'!C32="","",'Model inputs'!C32)</f>
        <v>0</v>
      </c>
      <c r="D189" s="14">
        <f>IF('Model inputs'!D32="","",'Model inputs'!D32)</f>
        <v>-6639.50458</v>
      </c>
      <c r="E189" s="14">
        <f>IF('Model inputs'!E32="","",'Model inputs'!E32)</f>
        <v>-13126.538510999999</v>
      </c>
      <c r="F189" s="14">
        <f>IF('Model inputs'!F32="","",'Model inputs'!F32)</f>
        <v>-19468.72532545</v>
      </c>
      <c r="G189" s="14">
        <f>IF('Model inputs'!G32="","",'Model inputs'!G32)</f>
        <v>-25673.3073791775</v>
      </c>
      <c r="H189" s="14">
        <f>IF('Model inputs'!H32="","",'Model inputs'!H32)</f>
        <v>-31747.164910218624</v>
      </c>
      <c r="I189" s="14">
        <f>IF('Model inputs'!I32="","",'Model inputs'!I32)</f>
        <v>-37696.8341447077</v>
      </c>
      <c r="J189" s="14">
        <f>IF('Model inputs'!J32="","",'Model inputs'!J32)</f>
        <v>-43528.52449747231</v>
      </c>
      <c r="K189" s="14">
        <f>IF('Model inputs'!K32="","",'Model inputs'!K32)</f>
        <v>-49248.134912598696</v>
      </c>
      <c r="L189" s="14">
        <f>IF('Model inputs'!L32="","",'Model inputs'!L32)</f>
        <v>-54861.269386968765</v>
      </c>
      <c r="M189" s="14">
        <f>IF('Model inputs'!M32="","",'Model inputs'!M32)</f>
        <v>-60373.251717620326</v>
      </c>
      <c r="N189" s="14">
        <f>IF('Model inputs'!N32="","",'Model inputs'!N32)</f>
        <v>-65789.13951173931</v>
      </c>
      <c r="O189" s="14">
        <f>IF('Model inputs'!O32="","",'Model inputs'!O32)</f>
        <v>-71113.73749615235</v>
      </c>
      <c r="P189" s="14">
        <f>IF('Model inputs'!P32="","",'Model inputs'!P32)</f>
        <v>-76351.61016134472</v>
      </c>
      <c r="Q189" s="14">
        <f>IF('Model inputs'!Q32="","",'Model inputs'!Q32)</f>
        <v>-81507.09377327749</v>
      </c>
      <c r="R189" s="14">
        <f>IF('Model inputs'!R32="","",'Model inputs'!R32)</f>
        <v>-86584.30778461361</v>
      </c>
      <c r="S189" s="14">
        <f>IF('Model inputs'!S32="","",'Model inputs'!S32)</f>
        <v>-91587.16567538293</v>
      </c>
      <c r="T189" s="14">
        <f>IF('Model inputs'!T32="","",'Model inputs'!T32)</f>
        <v>-96519.38525161378</v>
      </c>
      <c r="U189" s="14">
        <f>IF('Model inputs'!U32="","",'Model inputs'!U32)</f>
        <v>-101384.49842903309</v>
      </c>
      <c r="V189" s="14">
        <f>IF('Model inputs'!V32="","",'Model inputs'!V32)</f>
        <v>-106185.86052758143</v>
      </c>
      <c r="W189" s="14">
        <f>IF('Model inputs'!W32="","",'Model inputs'!W32)</f>
        <v>-110926.65910120236</v>
      </c>
      <c r="X189" s="14">
        <f>IF('Model inputs'!X32="","",'Model inputs'!X32)</f>
        <v>-115609.92232614223</v>
      </c>
      <c r="Y189" s="14">
        <f>IF('Model inputs'!Y32="","",'Model inputs'!Y32)</f>
        <v>-120238.52696983512</v>
      </c>
      <c r="Z189" s="14">
        <f>IF('Model inputs'!Z32="","",'Model inputs'!Z32)</f>
        <v>-124815.20596134337</v>
      </c>
      <c r="AA189" s="14">
        <f>IF('Model inputs'!AA32="","",'Model inputs'!AA32)</f>
        <v>-129342.5555832762</v>
      </c>
      <c r="AD189" s="14">
        <f>0+'Model inputs'!AD290</f>
        <v>0</v>
      </c>
      <c r="AE189" s="14">
        <f>'Model inputs'!AD189+'Model inputs'!AE290</f>
        <v>0</v>
      </c>
      <c r="AF189" s="14">
        <f>'Model inputs'!AE189+'Model inputs'!AF290</f>
        <v>0</v>
      </c>
      <c r="AG189" s="14">
        <f>'Model inputs'!AF189+'Model inputs'!AG290</f>
        <v>0</v>
      </c>
      <c r="AH189" s="14">
        <f>'Model inputs'!AG189+'Model inputs'!AH290</f>
        <v>0</v>
      </c>
      <c r="AI189" s="14">
        <f>'Model inputs'!AH189+'Model inputs'!AI290</f>
        <v>0</v>
      </c>
      <c r="AJ189" s="14">
        <f>'Model inputs'!AI189+'Model inputs'!AJ290</f>
        <v>0</v>
      </c>
      <c r="AK189" s="14">
        <f>'Model inputs'!AJ189+'Model inputs'!AK290</f>
        <v>0</v>
      </c>
    </row>
    <row r="190">
      <c r="A190" t="inlineStr" s="23">
        <is>
          <t xml:space="preserve">Cumulative operating result · Cumulative operating result · CheckoutGuard — Growth · CheckoutGuard — Growth</t>
        </is>
      </c>
      <c r="B190" s="14">
        <f>IF('Model inputs'!B33="","",'Model inputs'!B33)</f>
        <v>0</v>
      </c>
      <c r="C190" s="14">
        <f>IF('Model inputs'!C33="","",'Model inputs'!C33)</f>
        <v>0</v>
      </c>
      <c r="D190" s="14">
        <f>IF('Model inputs'!D33="","",'Model inputs'!D33)</f>
        <v>-6236.47692</v>
      </c>
      <c r="E190" s="14">
        <f>IF('Model inputs'!E33="","",'Model inputs'!E33)</f>
        <v>-11875.6193752</v>
      </c>
      <c r="F190" s="14">
        <f>IF('Model inputs'!F33="","",'Model inputs'!F33)</f>
        <v>-16880.685660784</v>
      </c>
      <c r="G190" s="14">
        <f>IF('Model inputs'!G33="","",'Model inputs'!G33)</f>
        <v>-21211.77383450336</v>
      </c>
      <c r="H190" s="14">
        <f>IF('Model inputs'!H33="","",'Model inputs'!H33)</f>
        <v>-24825.573315703135</v>
      </c>
      <c r="I190" s="14">
        <f>IF('Model inputs'!I33="","",'Model inputs'!I33)</f>
        <v>-27675.096523910102</v>
      </c>
      <c r="J190" s="14">
        <f>IF('Model inputs'!J33="","",'Model inputs'!J33)</f>
        <v>-29709.388961914614</v>
      </c>
      <c r="K190" s="14">
        <f>IF('Model inputs'!K33="","",'Model inputs'!K33)</f>
        <v>-30873.21602063765</v>
      </c>
      <c r="L190" s="14">
        <f>IF('Model inputs'!L33="","",'Model inputs'!L33)</f>
        <v>-31106.72464522313</v>
      </c>
      <c r="M190" s="14">
        <f>IF('Model inputs'!M33="","",'Model inputs'!M33)</f>
        <v>-30345.07785291676</v>
      </c>
      <c r="N190" s="14">
        <f>IF('Model inputs'!N33="","",'Model inputs'!N33)</f>
        <v>-28518.059932504362</v>
      </c>
      <c r="O190" s="14">
        <f>IF('Model inputs'!O33="","",'Model inputs'!O33)</f>
        <v>-25549.64998143189</v>
      </c>
      <c r="P190" s="14">
        <f>IF('Model inputs'!P33="","",'Model inputs'!P33)</f>
        <v>-21357.56124918707</v>
      </c>
      <c r="Q190" s="14">
        <f>IF('Model inputs'!Q33="","",'Model inputs'!Q33)</f>
        <v>-15852.743552977856</v>
      </c>
      <c r="R190" s="14">
        <f>IF('Model inputs'!R33="","",'Model inputs'!R33)</f>
        <v>-8938.845812994787</v>
      </c>
      <c r="S190" s="14">
        <f>IF('Model inputs'!S33="","",'Model inputs'!S33)</f>
        <v>-511.6355182974967</v>
      </c>
      <c r="T190" s="14">
        <f>IF('Model inputs'!T33="","",'Model inputs'!T33)</f>
        <v>9541.628320780843</v>
      </c>
      <c r="U190" s="14">
        <f>IF('Model inputs'!U33="","",'Model inputs'!U33)</f>
        <v>21342.872453374606</v>
      </c>
      <c r="V190" s="14">
        <f>IF('Model inputs'!V33="","",'Model inputs'!V33)</f>
        <v>35023.94091923725</v>
      </c>
      <c r="W190" s="14">
        <f>IF('Model inputs'!W33="","",'Model inputs'!W33)</f>
        <v>50727.385168977045</v>
      </c>
      <c r="X190" s="14">
        <f>IF('Model inputs'!X33="","",'Model inputs'!X33)</f>
        <v>68607.31745917202</v>
      </c>
      <c r="Y190" s="14">
        <f>IF('Model inputs'!Y33="","",'Model inputs'!Y33)</f>
        <v>88830.33258304905</v>
      </c>
      <c r="Z190" s="14">
        <f>IF('Model inputs'!Z33="","",'Model inputs'!Z33)</f>
        <v>111576.50340229338</v>
      </c>
      <c r="AA190" s="14">
        <f>IF('Model inputs'!AA33="","",'Model inputs'!AA33)</f>
        <v>137040.45608282526</v>
      </c>
      <c r="AD190" s="14">
        <f>0+'Model inputs'!AD291</f>
        <v>0</v>
      </c>
      <c r="AE190" s="14">
        <f>'Model inputs'!AD190+'Model inputs'!AE291</f>
        <v>0</v>
      </c>
      <c r="AF190" s="14">
        <f>'Model inputs'!AE190+'Model inputs'!AF291</f>
        <v>0</v>
      </c>
      <c r="AG190" s="14">
        <f>'Model inputs'!AF190+'Model inputs'!AG291</f>
        <v>0</v>
      </c>
      <c r="AH190" s="14">
        <f>'Model inputs'!AG190+'Model inputs'!AH291</f>
        <v>0</v>
      </c>
      <c r="AI190" s="14">
        <f>'Model inputs'!AH190+'Model inputs'!AI291</f>
        <v>0</v>
      </c>
      <c r="AJ190" s="14">
        <f>'Model inputs'!AI190+'Model inputs'!AJ291</f>
        <v>0</v>
      </c>
      <c r="AK190" s="14">
        <f>'Model inputs'!AJ190+'Model inputs'!AK291</f>
        <v>0</v>
      </c>
    </row>
    <row r="191">
      <c r="A191" t="inlineStr" s="23">
        <is>
          <t xml:space="preserve">Fixed app hosting per month · Fixed monthly cost · Main Scenario · Main Scenario</t>
        </is>
      </c>
      <c r="AB191" s="14">
        <f>'CheckoutGuard — Assumptions · C'!B20</f>
        <v>150</v>
      </c>
    </row>
    <row r="192">
      <c r="A192" t="inlineStr" s="23">
        <is>
          <t xml:space="preserve">Fixed app hosting per month · Fixed monthly cost · CheckoutGuard — Conservative · CheckoutGuard — Conservative</t>
        </is>
      </c>
      <c r="AB192" s="14">
        <f>'CheckoutGuard — Assumptions · C'!B20</f>
        <v>150</v>
      </c>
    </row>
    <row r="193">
      <c r="A193" t="inlineStr" s="23">
        <is>
          <t xml:space="preserve">Fixed app hosting per month · Fixed monthly cost · CheckoutGuard — Growth · CheckoutGuard — Growth</t>
        </is>
      </c>
      <c r="AB193" s="14">
        <f>'CheckoutGuard — Assumptions · C'!B20</f>
        <v>150</v>
      </c>
    </row>
    <row r="194">
      <c r="A194" t="inlineStr" s="23">
        <is>
          <t xml:space="preserve">Fixed database per month · Fixed monthly cost · Main Scenario · Main Scenario</t>
        </is>
      </c>
      <c r="AB194" s="14">
        <f>'CheckoutGuard — Assumptions · C'!B21</f>
        <v>60</v>
      </c>
    </row>
    <row r="195">
      <c r="A195" t="inlineStr" s="23">
        <is>
          <t xml:space="preserve">Fixed database per month · Fixed monthly cost · CheckoutGuard — Conservative · CheckoutGuard — Conservative</t>
        </is>
      </c>
      <c r="AB195" s="14">
        <f>'CheckoutGuard — Assumptions · C'!B21</f>
        <v>60</v>
      </c>
    </row>
    <row r="196">
      <c r="A196" t="inlineStr" s="23">
        <is>
          <t xml:space="preserve">Fixed database per month · Fixed monthly cost · CheckoutGuard — Growth · CheckoutGuard — Growth</t>
        </is>
      </c>
      <c r="AB196" s="14">
        <f>'CheckoutGuard — Assumptions · C'!B21</f>
        <v>60</v>
      </c>
    </row>
    <row r="197">
      <c r="A197" t="inlineStr" s="23">
        <is>
          <t xml:space="preserve">Fixed telemetry per month · Fixed monthly cost · Main Scenario · Main Scenario</t>
        </is>
      </c>
      <c r="AB197" s="14">
        <f>'CheckoutGuard — Assumptions · C'!B22</f>
        <v>30</v>
      </c>
    </row>
    <row r="198">
      <c r="A198" t="inlineStr" s="23">
        <is>
          <t xml:space="preserve">Fixed telemetry per month · Fixed monthly cost · CheckoutGuard — Conservative · CheckoutGuard — Conservative</t>
        </is>
      </c>
      <c r="AB198" s="14">
        <f>'CheckoutGuard — Assumptions · C'!B22</f>
        <v>30</v>
      </c>
    </row>
    <row r="199">
      <c r="A199" t="inlineStr" s="23">
        <is>
          <t xml:space="preserve">Fixed telemetry per month · Fixed monthly cost · CheckoutGuard — Growth · CheckoutGuard — Growth</t>
        </is>
      </c>
      <c r="AB199" s="14">
        <f>'CheckoutGuard — Assumptions · C'!B22</f>
        <v>30</v>
      </c>
    </row>
    <row r="200">
      <c r="A200" t="inlineStr" s="23">
        <is>
          <t xml:space="preserve">Founder compensation per month · Fixed monthly cost · Main Scenario · Main Scenario</t>
        </is>
      </c>
      <c r="AB200" s="14">
        <f>'CheckoutGuard — Assumptions · C'!B24</f>
        <v>6000</v>
      </c>
    </row>
    <row r="201">
      <c r="A201" t="inlineStr" s="23">
        <is>
          <t xml:space="preserve">Founder compensation per month · Fixed monthly cost · CheckoutGuard — Conservative · CheckoutGuard — Conservative</t>
        </is>
      </c>
      <c r="AB201" s="14">
        <f>'CheckoutGuard — Assumptions · C'!B24</f>
        <v>6000</v>
      </c>
    </row>
    <row r="202">
      <c r="A202" t="inlineStr" s="23">
        <is>
          <t xml:space="preserve">Founder compensation per month · Fixed monthly cost · CheckoutGuard — Growth · CheckoutGuard — Growth</t>
        </is>
      </c>
      <c r="AB202" s="14">
        <f>'CheckoutGuard — Assumptions · C'!B24</f>
        <v>6000</v>
      </c>
    </row>
    <row r="203">
      <c r="A203" t="inlineStr" s="23">
        <is>
          <t xml:space="preserve">Lost subscriptions</t>
        </is>
      </c>
      <c r="B203" s="6">
        <f>IF('Model inputs'!B47="","",'Model inputs'!B47)</f>
        <v>0</v>
      </c>
      <c r="C203" s="6">
        <f>IF('Model inputs'!C47="","",'Model inputs'!C47)</f>
        <v>0</v>
      </c>
      <c r="D203" s="6">
        <f>IF('Model inputs'!D47="","",'Model inputs'!D47)</f>
        <v>0</v>
      </c>
      <c r="E203" s="6">
        <f>IF('Model inputs'!E47="","",'Model inputs'!E47)</f>
        <v>0.135</v>
      </c>
      <c r="F203" s="6">
        <f>IF('Model inputs'!F47="","",'Model inputs'!F47)</f>
        <v>0.2727</v>
      </c>
      <c r="G203" s="6">
        <f>IF('Model inputs'!G47="","",'Model inputs'!G47)</f>
        <v>0.41335649999999996</v>
      </c>
      <c r="H203" s="6">
        <f>IF('Model inputs'!H47="","",'Model inputs'!H47)</f>
        <v>0.5572351799999999</v>
      </c>
      <c r="I203" s="6">
        <f>IF('Model inputs'!I47="","",'Model inputs'!I47)</f>
        <v>0.7046114683500001</v>
      </c>
      <c r="J203" s="6">
        <f>IF('Model inputs'!J47="","",'Model inputs'!J47)</f>
        <v>0.8557711352370001</v>
      </c>
      <c r="K203" s="6">
        <f>IF('Model inputs'!K47="","",'Model inputs'!K47)</f>
        <v>1.0110109126642652</v>
      </c>
      <c r="L203" s="6">
        <f>IF('Model inputs'!L47="","",'Model inputs'!L47)</f>
        <v>1.1706391423429312</v>
      </c>
      <c r="M203" s="6">
        <f>IF('Model inputs'!M47="","",'Model inputs'!M47)</f>
        <v>1.3349764529841668</v>
      </c>
      <c r="N203" s="6">
        <f>IF('Model inputs'!N47="","",'Model inputs'!N47)</f>
        <v>1.5043564685517414</v>
      </c>
      <c r="O203" s="6">
        <f>IF('Model inputs'!O47="","",'Model inputs'!O47)</f>
        <v>1.6791265491101441</v>
      </c>
      <c r="P203" s="6">
        <f>IF('Model inputs'!P47="","",'Model inputs'!P47)</f>
        <v>1.8596485659825421</v>
      </c>
      <c r="Q203" s="6">
        <f>IF('Model inputs'!Q47="","",'Model inputs'!Q47)</f>
        <v>2.0462997130160536</v>
      </c>
      <c r="R203" s="6">
        <f>IF('Model inputs'!R47="","",'Model inputs'!R47)</f>
        <v>2.2394733558392086</v>
      </c>
      <c r="S203" s="6">
        <f>IF('Model inputs'!S47="","",'Model inputs'!S47)</f>
        <v>2.4395799210883515</v>
      </c>
      <c r="T203" s="6">
        <f>IF('Model inputs'!T47="","",'Model inputs'!T47)</f>
        <v>2.6470478276762357</v>
      </c>
      <c r="U203" s="6">
        <f>IF('Model inputs'!U47="","",'Model inputs'!U47)</f>
        <v>2.8623244622775106</v>
      </c>
      <c r="V203" s="6">
        <f>IF('Model inputs'!V47="","",'Model inputs'!V47)</f>
        <v>3.085877201312325</v>
      </c>
      <c r="W203" s="6">
        <f>IF('Model inputs'!W47="","",'Model inputs'!W47)</f>
        <v>3.3181944818212514</v>
      </c>
      <c r="X203" s="6">
        <f>IF('Model inputs'!X47="","",'Model inputs'!X47)</f>
        <v>3.559786923742325</v>
      </c>
      <c r="Y203" s="6">
        <f>IF('Model inputs'!Y47="","",'Model inputs'!Y47)</f>
        <v>3.811188506224553</v>
      </c>
      <c r="Z203" s="6">
        <f>IF('Model inputs'!Z47="","",'Model inputs'!Z47)</f>
        <v>4.072957800742039</v>
      </c>
      <c r="AA203" s="6">
        <f>IF('Model inputs'!AA47="","",'Model inputs'!AA47)</f>
        <v>4.3456792639092106</v>
      </c>
      <c r="AD203" s="6">
        <f>SUM('Model inputs'!AD204,'Model inputs'!AD205,'Model inputs'!AD206)</f>
        <v>0</v>
      </c>
      <c r="AE203" s="6">
        <f>SUM('Model inputs'!AE204,'Model inputs'!AE205,'Model inputs'!AE206)</f>
        <v>0</v>
      </c>
      <c r="AF203" s="6">
        <f>SUM('Model inputs'!AF204,'Model inputs'!AF205,'Model inputs'!AF206)</f>
        <v>0</v>
      </c>
      <c r="AG203" s="6">
        <f>SUM('Model inputs'!AG204,'Model inputs'!AG205,'Model inputs'!AG206)</f>
        <v>0</v>
      </c>
      <c r="AH203" s="6">
        <f>SUM('Model inputs'!AH204,'Model inputs'!AH205,'Model inputs'!AH206)</f>
        <v>0</v>
      </c>
      <c r="AI203" s="6">
        <f>SUM('Model inputs'!AI204,'Model inputs'!AI205,'Model inputs'!AI206)</f>
        <v>0</v>
      </c>
      <c r="AJ203" s="6">
        <f>SUM('Model inputs'!AJ204,'Model inputs'!AJ205,'Model inputs'!AJ206)</f>
        <v>0</v>
      </c>
      <c r="AK203" s="6">
        <f>SUM('Model inputs'!AK204,'Model inputs'!AK205,'Model inputs'!AK206)</f>
        <v>0</v>
      </c>
    </row>
    <row r="204" outlineLevel="1">
      <c r="A204" t="inlineStr" s="24">
        <is>
          <t xml:space="preserve">Lost subscriptions &gt; Agency</t>
        </is>
      </c>
      <c r="B204" s="9">
        <f>IF('Model inputs'!B48="","",'Model inputs'!B48)</f>
        <v>0</v>
      </c>
      <c r="C204" s="9">
        <f>IF('Model inputs'!C48="","",'Model inputs'!C48)</f>
        <v>0</v>
      </c>
      <c r="D204" s="9">
        <f>IF('Model inputs'!D48="","",'Model inputs'!D48)</f>
        <v>0</v>
      </c>
      <c r="E204" s="9">
        <f>IF('Model inputs'!E48="","",'Model inputs'!E48)</f>
        <v>0.015</v>
      </c>
      <c r="F204" s="9">
        <f>IF('Model inputs'!F48="","",'Model inputs'!F48)</f>
        <v>0.0303</v>
      </c>
      <c r="G204" s="9">
        <f>IF('Model inputs'!G48="","",'Model inputs'!G48)</f>
        <v>0.0459285</v>
      </c>
      <c r="H204" s="9">
        <f>IF('Model inputs'!H48="","",'Model inputs'!H48)</f>
        <v>0.061915019999999994</v>
      </c>
      <c r="I204" s="9">
        <f>IF('Model inputs'!I48="","",'Model inputs'!I48)</f>
        <v>0.07829016315000001</v>
      </c>
      <c r="J204" s="9">
        <f>IF('Model inputs'!J48="","",'Model inputs'!J48)</f>
        <v>0.09508568169300001</v>
      </c>
      <c r="K204" s="9">
        <f>IF('Model inputs'!K48="","",'Model inputs'!K48)</f>
        <v>0.11233454585158503</v>
      </c>
      <c r="L204" s="9">
        <f>IF('Model inputs'!L48="","",'Model inputs'!L48)</f>
        <v>0.13007101581588124</v>
      </c>
      <c r="M204" s="9">
        <f>IF('Model inputs'!M48="","",'Model inputs'!M48)</f>
        <v>0.14833071699824077</v>
      </c>
      <c r="N204" s="9">
        <f>IF('Model inputs'!N48="","",'Model inputs'!N48)</f>
        <v>0.16715071872797127</v>
      </c>
      <c r="O204" s="9">
        <f>IF('Model inputs'!O48="","",'Model inputs'!O48)</f>
        <v>0.18656961656779378</v>
      </c>
      <c r="P204" s="9">
        <f>IF('Model inputs'!P48="","",'Model inputs'!P48)</f>
        <v>0.20662761844250468</v>
      </c>
      <c r="Q204" s="9">
        <f>IF('Model inputs'!Q48="","",'Model inputs'!Q48)</f>
        <v>0.2273666347795615</v>
      </c>
      <c r="R204" s="9">
        <f>IF('Model inputs'!R48="","",'Model inputs'!R48)</f>
        <v>0.2488303728710232</v>
      </c>
      <c r="S204" s="9">
        <f>IF('Model inputs'!S48="","",'Model inputs'!S48)</f>
        <v>0.27106443567648353</v>
      </c>
      <c r="T204" s="9">
        <f>IF('Model inputs'!T48="","",'Model inputs'!T48)</f>
        <v>0.29411642529735954</v>
      </c>
      <c r="U204" s="9">
        <f>IF('Model inputs'!U48="","",'Model inputs'!U48)</f>
        <v>0.31803605136416785</v>
      </c>
      <c r="V204" s="9">
        <f>IF('Model inputs'!V48="","",'Model inputs'!V48)</f>
        <v>0.34287524459025837</v>
      </c>
      <c r="W204" s="9">
        <f>IF('Model inputs'!W48="","",'Model inputs'!W48)</f>
        <v>0.36868827575791685</v>
      </c>
      <c r="X204" s="9">
        <f>IF('Model inputs'!X48="","",'Model inputs'!X48)</f>
        <v>0.39553188041581394</v>
      </c>
      <c r="Y204" s="9">
        <f>IF('Model inputs'!Y48="","",'Model inputs'!Y48)</f>
        <v>0.4234653895805059</v>
      </c>
      <c r="Z204" s="9">
        <f>IF('Model inputs'!Z48="","",'Model inputs'!Z48)</f>
        <v>0.4525508667491154</v>
      </c>
      <c r="AA204" s="9">
        <f>IF('Model inputs'!AA48="","",'Model inputs'!AA48)</f>
        <v>0.4828532515454678</v>
      </c>
      <c r="AD204" s="9">
        <f>0*'Model inputs'!AB51</f>
        <v>0</v>
      </c>
      <c r="AE204" s="9">
        <f>'Model inputs'!AD173*'Model inputs'!AB51</f>
        <v>0</v>
      </c>
      <c r="AF204" s="9">
        <f>'Model inputs'!AE173*'Model inputs'!AB51</f>
        <v>0</v>
      </c>
      <c r="AG204" s="9">
        <f>'Model inputs'!AF173*'Model inputs'!AB51</f>
        <v>0</v>
      </c>
      <c r="AH204" s="9">
        <f>'Model inputs'!AG173*'Model inputs'!AB51</f>
        <v>0</v>
      </c>
      <c r="AI204" s="9">
        <f>'Model inputs'!AH173*'Model inputs'!AB51</f>
        <v>0</v>
      </c>
      <c r="AJ204" s="9">
        <f>'Model inputs'!AI173*'Model inputs'!AB51</f>
        <v>0</v>
      </c>
      <c r="AK204" s="9">
        <f>'Model inputs'!AJ173*'Model inputs'!AB51</f>
        <v>0</v>
      </c>
    </row>
    <row r="205" outlineLevel="1">
      <c r="A205" t="inlineStr" s="24">
        <is>
          <t xml:space="preserve">Lost subscriptions &gt; Developer</t>
        </is>
      </c>
      <c r="B205" s="9">
        <f>IF('Model inputs'!B49="","",'Model inputs'!B49)</f>
        <v>0</v>
      </c>
      <c r="C205" s="9">
        <f>IF('Model inputs'!C49="","",'Model inputs'!C49)</f>
        <v>0</v>
      </c>
      <c r="D205" s="9">
        <f>IF('Model inputs'!D49="","",'Model inputs'!D49)</f>
        <v>0</v>
      </c>
      <c r="E205" s="9">
        <f>IF('Model inputs'!E49="","",'Model inputs'!E49)</f>
        <v>0.06</v>
      </c>
      <c r="F205" s="9">
        <f>IF('Model inputs'!F49="","",'Model inputs'!F49)</f>
        <v>0.1212</v>
      </c>
      <c r="G205" s="9">
        <f>IF('Model inputs'!G49="","",'Model inputs'!G49)</f>
        <v>0.183714</v>
      </c>
      <c r="H205" s="9">
        <f>IF('Model inputs'!H49="","",'Model inputs'!H49)</f>
        <v>0.24766007999999998</v>
      </c>
      <c r="I205" s="9">
        <f>IF('Model inputs'!I49="","",'Model inputs'!I49)</f>
        <v>0.31316065260000003</v>
      </c>
      <c r="J205" s="9">
        <f>IF('Model inputs'!J49="","",'Model inputs'!J49)</f>
        <v>0.38034272677200004</v>
      </c>
      <c r="K205" s="9">
        <f>IF('Model inputs'!K49="","",'Model inputs'!K49)</f>
        <v>0.44933818340634013</v>
      </c>
      <c r="L205" s="9">
        <f>IF('Model inputs'!L49="","",'Model inputs'!L49)</f>
        <v>0.5202840632635249</v>
      </c>
      <c r="M205" s="9">
        <f>IF('Model inputs'!M49="","",'Model inputs'!M49)</f>
        <v>0.5933228679929631</v>
      </c>
      <c r="N205" s="9">
        <f>IF('Model inputs'!N49="","",'Model inputs'!N49)</f>
        <v>0.6686028749118851</v>
      </c>
      <c r="O205" s="9">
        <f>IF('Model inputs'!O49="","",'Model inputs'!O49)</f>
        <v>0.7462784662711751</v>
      </c>
      <c r="P205" s="9">
        <f>IF('Model inputs'!P49="","",'Model inputs'!P49)</f>
        <v>0.8265104737700187</v>
      </c>
      <c r="Q205" s="9">
        <f>IF('Model inputs'!Q49="","",'Model inputs'!Q49)</f>
        <v>0.909466539118246</v>
      </c>
      <c r="R205" s="9">
        <f>IF('Model inputs'!R49="","",'Model inputs'!R49)</f>
        <v>0.9953214914840928</v>
      </c>
      <c r="S205" s="9">
        <f>IF('Model inputs'!S49="","",'Model inputs'!S49)</f>
        <v>1.0842577427059341</v>
      </c>
      <c r="T205" s="9">
        <f>IF('Model inputs'!T49="","",'Model inputs'!T49)</f>
        <v>1.1764657011894382</v>
      </c>
      <c r="U205" s="9">
        <f>IF('Model inputs'!U49="","",'Model inputs'!U49)</f>
        <v>1.2721442054566714</v>
      </c>
      <c r="V205" s="9">
        <f>IF('Model inputs'!V49="","",'Model inputs'!V49)</f>
        <v>1.3715009783610335</v>
      </c>
      <c r="W205" s="9">
        <f>IF('Model inputs'!W49="","",'Model inputs'!W49)</f>
        <v>1.4747531030316674</v>
      </c>
      <c r="X205" s="9">
        <f>IF('Model inputs'!X49="","",'Model inputs'!X49)</f>
        <v>1.5821275216632558</v>
      </c>
      <c r="Y205" s="9">
        <f>IF('Model inputs'!Y49="","",'Model inputs'!Y49)</f>
        <v>1.6938615583220236</v>
      </c>
      <c r="Z205" s="9">
        <f>IF('Model inputs'!Z49="","",'Model inputs'!Z49)</f>
        <v>1.8102034669964615</v>
      </c>
      <c r="AA205" s="9">
        <f>IF('Model inputs'!AA49="","",'Model inputs'!AA49)</f>
        <v>1.9314130061818713</v>
      </c>
      <c r="AD205" s="9">
        <f>0*'Model inputs'!AB51</f>
        <v>0</v>
      </c>
      <c r="AE205" s="9">
        <f>'Model inputs'!AD174*'Model inputs'!AB51</f>
        <v>0</v>
      </c>
      <c r="AF205" s="9">
        <f>'Model inputs'!AE174*'Model inputs'!AB51</f>
        <v>0</v>
      </c>
      <c r="AG205" s="9">
        <f>'Model inputs'!AF174*'Model inputs'!AB51</f>
        <v>0</v>
      </c>
      <c r="AH205" s="9">
        <f>'Model inputs'!AG174*'Model inputs'!AB51</f>
        <v>0</v>
      </c>
      <c r="AI205" s="9">
        <f>'Model inputs'!AH174*'Model inputs'!AB51</f>
        <v>0</v>
      </c>
      <c r="AJ205" s="9">
        <f>'Model inputs'!AI174*'Model inputs'!AB51</f>
        <v>0</v>
      </c>
      <c r="AK205" s="9">
        <f>'Model inputs'!AJ174*'Model inputs'!AB51</f>
        <v>0</v>
      </c>
    </row>
    <row r="206" outlineLevel="1">
      <c r="A206" t="inlineStr" s="24">
        <is>
          <t xml:space="preserve">Lost subscriptions &gt; Team</t>
        </is>
      </c>
      <c r="B206" s="9">
        <f>IF('Model inputs'!B50="","",'Model inputs'!B50)</f>
        <v>0</v>
      </c>
      <c r="C206" s="9">
        <f>IF('Model inputs'!C50="","",'Model inputs'!C50)</f>
        <v>0</v>
      </c>
      <c r="D206" s="9">
        <f>IF('Model inputs'!D50="","",'Model inputs'!D50)</f>
        <v>0</v>
      </c>
      <c r="E206" s="9">
        <f>IF('Model inputs'!E50="","",'Model inputs'!E50)</f>
        <v>0.06</v>
      </c>
      <c r="F206" s="9">
        <f>IF('Model inputs'!F50="","",'Model inputs'!F50)</f>
        <v>0.1212</v>
      </c>
      <c r="G206" s="9">
        <f>IF('Model inputs'!G50="","",'Model inputs'!G50)</f>
        <v>0.183714</v>
      </c>
      <c r="H206" s="9">
        <f>IF('Model inputs'!H50="","",'Model inputs'!H50)</f>
        <v>0.24766007999999998</v>
      </c>
      <c r="I206" s="9">
        <f>IF('Model inputs'!I50="","",'Model inputs'!I50)</f>
        <v>0.31316065260000003</v>
      </c>
      <c r="J206" s="9">
        <f>IF('Model inputs'!J50="","",'Model inputs'!J50)</f>
        <v>0.38034272677200004</v>
      </c>
      <c r="K206" s="9">
        <f>IF('Model inputs'!K50="","",'Model inputs'!K50)</f>
        <v>0.44933818340634013</v>
      </c>
      <c r="L206" s="9">
        <f>IF('Model inputs'!L50="","",'Model inputs'!L50)</f>
        <v>0.5202840632635249</v>
      </c>
      <c r="M206" s="9">
        <f>IF('Model inputs'!M50="","",'Model inputs'!M50)</f>
        <v>0.5933228679929631</v>
      </c>
      <c r="N206" s="9">
        <f>IF('Model inputs'!N50="","",'Model inputs'!N50)</f>
        <v>0.6686028749118851</v>
      </c>
      <c r="O206" s="9">
        <f>IF('Model inputs'!O50="","",'Model inputs'!O50)</f>
        <v>0.7462784662711751</v>
      </c>
      <c r="P206" s="9">
        <f>IF('Model inputs'!P50="","",'Model inputs'!P50)</f>
        <v>0.8265104737700187</v>
      </c>
      <c r="Q206" s="9">
        <f>IF('Model inputs'!Q50="","",'Model inputs'!Q50)</f>
        <v>0.909466539118246</v>
      </c>
      <c r="R206" s="9">
        <f>IF('Model inputs'!R50="","",'Model inputs'!R50)</f>
        <v>0.9953214914840928</v>
      </c>
      <c r="S206" s="9">
        <f>IF('Model inputs'!S50="","",'Model inputs'!S50)</f>
        <v>1.0842577427059341</v>
      </c>
      <c r="T206" s="9">
        <f>IF('Model inputs'!T50="","",'Model inputs'!T50)</f>
        <v>1.1764657011894382</v>
      </c>
      <c r="U206" s="9">
        <f>IF('Model inputs'!U50="","",'Model inputs'!U50)</f>
        <v>1.2721442054566714</v>
      </c>
      <c r="V206" s="9">
        <f>IF('Model inputs'!V50="","",'Model inputs'!V50)</f>
        <v>1.3715009783610335</v>
      </c>
      <c r="W206" s="9">
        <f>IF('Model inputs'!W50="","",'Model inputs'!W50)</f>
        <v>1.4747531030316674</v>
      </c>
      <c r="X206" s="9">
        <f>IF('Model inputs'!X50="","",'Model inputs'!X50)</f>
        <v>1.5821275216632558</v>
      </c>
      <c r="Y206" s="9">
        <f>IF('Model inputs'!Y50="","",'Model inputs'!Y50)</f>
        <v>1.6938615583220236</v>
      </c>
      <c r="Z206" s="9">
        <f>IF('Model inputs'!Z50="","",'Model inputs'!Z50)</f>
        <v>1.8102034669964615</v>
      </c>
      <c r="AA206" s="9">
        <f>IF('Model inputs'!AA50="","",'Model inputs'!AA50)</f>
        <v>1.9314130061818713</v>
      </c>
      <c r="AD206" s="9">
        <f>0*'Model inputs'!AB51</f>
        <v>0</v>
      </c>
      <c r="AE206" s="9">
        <f>'Model inputs'!AD175*'Model inputs'!AB51</f>
        <v>0</v>
      </c>
      <c r="AF206" s="9">
        <f>'Model inputs'!AE175*'Model inputs'!AB51</f>
        <v>0</v>
      </c>
      <c r="AG206" s="9">
        <f>'Model inputs'!AF175*'Model inputs'!AB51</f>
        <v>0</v>
      </c>
      <c r="AH206" s="9">
        <f>'Model inputs'!AG175*'Model inputs'!AB51</f>
        <v>0</v>
      </c>
      <c r="AI206" s="9">
        <f>'Model inputs'!AH175*'Model inputs'!AB51</f>
        <v>0</v>
      </c>
      <c r="AJ206" s="9">
        <f>'Model inputs'!AI175*'Model inputs'!AB51</f>
        <v>0</v>
      </c>
      <c r="AK206" s="9">
        <f>'Model inputs'!AJ175*'Model inputs'!AB51</f>
        <v>0</v>
      </c>
    </row>
    <row r="207">
      <c r="A207" t="inlineStr" s="23">
        <is>
          <t xml:space="preserve">Lost subscriptions</t>
        </is>
      </c>
      <c r="B207" s="6">
        <f>SUM('Model inputs'!B208,'Model inputs'!B209,'Model inputs'!B210)</f>
        <v>0</v>
      </c>
      <c r="C207" s="6">
        <f>SUM('Model inputs'!C208,'Model inputs'!C209,'Model inputs'!C210)</f>
        <v>0</v>
      </c>
      <c r="D207" s="6">
        <f>SUM('Model inputs'!D208,'Model inputs'!D209,'Model inputs'!D210)</f>
        <v>0</v>
      </c>
      <c r="E207" s="6">
        <f>SUM('Model inputs'!E208,'Model inputs'!E209,'Model inputs'!E210)</f>
        <v>0.1125</v>
      </c>
      <c r="F207" s="6">
        <f>SUM('Model inputs'!F208,'Model inputs'!F209,'Model inputs'!F210)</f>
        <v>0.21937500000000001</v>
      </c>
      <c r="G207" s="6">
        <f>SUM('Model inputs'!G208,'Model inputs'!G209,'Model inputs'!G210)</f>
        <v>0.32090625</v>
      </c>
      <c r="H207" s="6">
        <f>SUM('Model inputs'!H208,'Model inputs'!H209,'Model inputs'!H210)</f>
        <v>0.41736093750000003</v>
      </c>
      <c r="I207" s="6">
        <f>SUM('Model inputs'!I208,'Model inputs'!I209,'Model inputs'!I210)</f>
        <v>0.5089928906250001</v>
      </c>
      <c r="J207" s="6">
        <f>SUM('Model inputs'!J208,'Model inputs'!J209,'Model inputs'!J210)</f>
        <v>0.5960432460937501</v>
      </c>
      <c r="K207" s="6">
        <f>SUM('Model inputs'!K208,'Model inputs'!K209,'Model inputs'!K210)</f>
        <v>0.6787410837890626</v>
      </c>
      <c r="L207" s="6">
        <f>SUM('Model inputs'!L208,'Model inputs'!L209,'Model inputs'!L210)</f>
        <v>0.7573040295996094</v>
      </c>
      <c r="M207" s="6">
        <f>SUM('Model inputs'!M208,'Model inputs'!M209,'Model inputs'!M210)</f>
        <v>0.8319388281196289</v>
      </c>
      <c r="N207" s="6">
        <f>SUM('Model inputs'!N208,'Model inputs'!N209,'Model inputs'!N210)</f>
        <v>0.9028418867136476</v>
      </c>
      <c r="O207" s="6">
        <f>SUM('Model inputs'!O208,'Model inputs'!O209,'Model inputs'!O210)</f>
        <v>0.970199792377965</v>
      </c>
      <c r="P207" s="6">
        <f>SUM('Model inputs'!P208,'Model inputs'!P209,'Model inputs'!P210)</f>
        <v>1.0341898027590668</v>
      </c>
      <c r="Q207" s="6">
        <f>SUM('Model inputs'!Q208,'Model inputs'!Q209,'Model inputs'!Q210)</f>
        <v>1.0949803126211137</v>
      </c>
      <c r="R207" s="6">
        <f>SUM('Model inputs'!R208,'Model inputs'!R209,'Model inputs'!R210)</f>
        <v>1.152731296990058</v>
      </c>
      <c r="S207" s="6">
        <f>SUM('Model inputs'!S208,'Model inputs'!S209,'Model inputs'!S210)</f>
        <v>1.2075947321405551</v>
      </c>
      <c r="T207" s="6">
        <f>SUM('Model inputs'!T208,'Model inputs'!T209,'Model inputs'!T210)</f>
        <v>1.2597149955335274</v>
      </c>
      <c r="U207" s="6">
        <f>SUM('Model inputs'!U208,'Model inputs'!U209,'Model inputs'!U210)</f>
        <v>1.309229245756851</v>
      </c>
      <c r="V207" s="6">
        <f>SUM('Model inputs'!V208,'Model inputs'!V209,'Model inputs'!V210)</f>
        <v>1.3562677834690087</v>
      </c>
      <c r="W207" s="6">
        <f>SUM('Model inputs'!W208,'Model inputs'!W209,'Model inputs'!W210)</f>
        <v>1.400954394295558</v>
      </c>
      <c r="X207" s="6">
        <f>SUM('Model inputs'!X208,'Model inputs'!X209,'Model inputs'!X210)</f>
        <v>1.44340667458078</v>
      </c>
      <c r="Y207" s="6">
        <f>SUM('Model inputs'!Y208,'Model inputs'!Y209,'Model inputs'!Y210)</f>
        <v>1.4837363408517412</v>
      </c>
      <c r="Z207" s="6">
        <f>SUM('Model inputs'!Z208,'Model inputs'!Z209,'Model inputs'!Z210)</f>
        <v>1.5220495238091543</v>
      </c>
      <c r="AA207" s="6">
        <f>SUM('Model inputs'!AA208,'Model inputs'!AA209,'Model inputs'!AA210)</f>
        <v>1.5584470476186965</v>
      </c>
      <c r="AD207" s="6">
        <f>SUM('Model inputs'!AD208,'Model inputs'!AD209,'Model inputs'!AD210)</f>
        <v>0</v>
      </c>
      <c r="AE207" s="6">
        <f>SUM('Model inputs'!AE208,'Model inputs'!AE209,'Model inputs'!AE210)</f>
        <v>0</v>
      </c>
      <c r="AF207" s="6">
        <f>SUM('Model inputs'!AF208,'Model inputs'!AF209,'Model inputs'!AF210)</f>
        <v>0</v>
      </c>
      <c r="AG207" s="6">
        <f>SUM('Model inputs'!AG208,'Model inputs'!AG209,'Model inputs'!AG210)</f>
        <v>0</v>
      </c>
      <c r="AH207" s="6">
        <f>SUM('Model inputs'!AH208,'Model inputs'!AH209,'Model inputs'!AH210)</f>
        <v>0</v>
      </c>
      <c r="AI207" s="6">
        <f>SUM('Model inputs'!AI208,'Model inputs'!AI209,'Model inputs'!AI210)</f>
        <v>0</v>
      </c>
      <c r="AJ207" s="6">
        <f>SUM('Model inputs'!AJ208,'Model inputs'!AJ209,'Model inputs'!AJ210)</f>
        <v>0</v>
      </c>
      <c r="AK207" s="6">
        <f>SUM('Model inputs'!AK208,'Model inputs'!AK209,'Model inputs'!AK210)</f>
        <v>0</v>
      </c>
    </row>
    <row r="208" outlineLevel="1">
      <c r="A208" t="inlineStr" s="24">
        <is>
          <t xml:space="preserve">Lost subscriptions &gt; Agency</t>
        </is>
      </c>
      <c r="B208" s="9">
        <f>'Model inputs'!AK177*'Model inputs'!AB287</f>
        <v>0</v>
      </c>
      <c r="C208" s="9">
        <f>'Model inputs'!B11*'Model inputs'!AB287</f>
        <v>0</v>
      </c>
      <c r="D208" s="9">
        <f>'Model inputs'!C11*'Model inputs'!AB287</f>
        <v>0</v>
      </c>
      <c r="E208" s="9">
        <f>'Model inputs'!D11*'Model inputs'!AB287</f>
        <v>0.0125</v>
      </c>
      <c r="F208" s="9">
        <f>'Model inputs'!E11*'Model inputs'!AB287</f>
        <v>0.024375</v>
      </c>
      <c r="G208" s="9">
        <f>'Model inputs'!F11*'Model inputs'!AB287</f>
        <v>0.03565625</v>
      </c>
      <c r="H208" s="9">
        <f>'Model inputs'!G11*'Model inputs'!AB287</f>
        <v>0.0463734375</v>
      </c>
      <c r="I208" s="9">
        <f>'Model inputs'!H11*'Model inputs'!AB287</f>
        <v>0.056554765625</v>
      </c>
      <c r="J208" s="9">
        <f>'Model inputs'!I11*'Model inputs'!AB287</f>
        <v>0.06622702734375001</v>
      </c>
      <c r="K208" s="9">
        <f>'Model inputs'!J11*'Model inputs'!AB287</f>
        <v>0.07541567597656251</v>
      </c>
      <c r="L208" s="9">
        <f>'Model inputs'!K11*'Model inputs'!AB287</f>
        <v>0.08414489217773438</v>
      </c>
      <c r="M208" s="9">
        <f>'Model inputs'!L11*'Model inputs'!AB287</f>
        <v>0.09243764756884766</v>
      </c>
      <c r="N208" s="9">
        <f>'Model inputs'!M11*'Model inputs'!AB287</f>
        <v>0.10031576519040529</v>
      </c>
      <c r="O208" s="9">
        <f>'Model inputs'!N11*'Model inputs'!AB287</f>
        <v>0.10779997693088501</v>
      </c>
      <c r="P208" s="9">
        <f>'Model inputs'!O11*'Model inputs'!AB287</f>
        <v>0.11490997808434077</v>
      </c>
      <c r="Q208" s="9">
        <f>'Model inputs'!P11*'Model inputs'!AB287</f>
        <v>0.12166447918012374</v>
      </c>
      <c r="R208" s="9">
        <f>'Model inputs'!Q11*'Model inputs'!AB287</f>
        <v>0.12808125522111755</v>
      </c>
      <c r="S208" s="9">
        <f>'Model inputs'!R11*'Model inputs'!AB287</f>
        <v>0.13417719246006168</v>
      </c>
      <c r="T208" s="9">
        <f>'Model inputs'!S11*'Model inputs'!AB287</f>
        <v>0.1399683328370586</v>
      </c>
      <c r="U208" s="9">
        <f>'Model inputs'!T11*'Model inputs'!AB287</f>
        <v>0.14546991619520566</v>
      </c>
      <c r="V208" s="9">
        <f>'Model inputs'!U11*'Model inputs'!AB287</f>
        <v>0.1506964203854454</v>
      </c>
      <c r="W208" s="9">
        <f>'Model inputs'!V11*'Model inputs'!AB287</f>
        <v>0.1556615993661731</v>
      </c>
      <c r="X208" s="9">
        <f>'Model inputs'!W11*'Model inputs'!AB287</f>
        <v>0.16037851939786446</v>
      </c>
      <c r="Y208" s="9">
        <f>'Model inputs'!X11*'Model inputs'!AB287</f>
        <v>0.16485959342797124</v>
      </c>
      <c r="Z208" s="9">
        <f>'Model inputs'!Y11*'Model inputs'!AB287</f>
        <v>0.1691166137565727</v>
      </c>
      <c r="AA208" s="9">
        <f>'Model inputs'!Z11*'Model inputs'!AB287</f>
        <v>0.17316078306874405</v>
      </c>
      <c r="AD208" s="9">
        <f>0*'Model inputs'!AB287</f>
        <v>0</v>
      </c>
      <c r="AE208" s="9">
        <f>'Model inputs'!AD177*'Model inputs'!AB287</f>
        <v>0</v>
      </c>
      <c r="AF208" s="9">
        <f>'Model inputs'!AE177*'Model inputs'!AB287</f>
        <v>0</v>
      </c>
      <c r="AG208" s="9">
        <f>'Model inputs'!AF177*'Model inputs'!AB287</f>
        <v>0</v>
      </c>
      <c r="AH208" s="9">
        <f>'Model inputs'!AG177*'Model inputs'!AB287</f>
        <v>0</v>
      </c>
      <c r="AI208" s="9">
        <f>'Model inputs'!AH177*'Model inputs'!AB287</f>
        <v>0</v>
      </c>
      <c r="AJ208" s="9">
        <f>'Model inputs'!AI177*'Model inputs'!AB287</f>
        <v>0</v>
      </c>
      <c r="AK208" s="9">
        <f>'Model inputs'!AJ177*'Model inputs'!AB287</f>
        <v>0</v>
      </c>
    </row>
    <row r="209" outlineLevel="1">
      <c r="A209" t="inlineStr" s="24">
        <is>
          <t xml:space="preserve">Lost subscriptions &gt; Developer</t>
        </is>
      </c>
      <c r="B209" s="9">
        <f>'Model inputs'!AK178*'Model inputs'!AB287</f>
        <v>0</v>
      </c>
      <c r="C209" s="9">
        <f>'Model inputs'!B12*'Model inputs'!AB287</f>
        <v>0</v>
      </c>
      <c r="D209" s="9">
        <f>'Model inputs'!C12*'Model inputs'!AB287</f>
        <v>0</v>
      </c>
      <c r="E209" s="9">
        <f>'Model inputs'!D12*'Model inputs'!AB287</f>
        <v>0.05</v>
      </c>
      <c r="F209" s="9">
        <f>'Model inputs'!E12*'Model inputs'!AB287</f>
        <v>0.0975</v>
      </c>
      <c r="G209" s="9">
        <f>'Model inputs'!F12*'Model inputs'!AB287</f>
        <v>0.142625</v>
      </c>
      <c r="H209" s="9">
        <f>'Model inputs'!G12*'Model inputs'!AB287</f>
        <v>0.18549375</v>
      </c>
      <c r="I209" s="9">
        <f>'Model inputs'!H12*'Model inputs'!AB287</f>
        <v>0.2262190625</v>
      </c>
      <c r="J209" s="9">
        <f>'Model inputs'!I12*'Model inputs'!AB287</f>
        <v>0.26490810937500003</v>
      </c>
      <c r="K209" s="9">
        <f>'Model inputs'!J12*'Model inputs'!AB287</f>
        <v>0.30166270390625005</v>
      </c>
      <c r="L209" s="9">
        <f>'Model inputs'!K12*'Model inputs'!AB287</f>
        <v>0.3365795687109375</v>
      </c>
      <c r="M209" s="9">
        <f>'Model inputs'!L12*'Model inputs'!AB287</f>
        <v>0.36975059027539064</v>
      </c>
      <c r="N209" s="9">
        <f>'Model inputs'!M12*'Model inputs'!AB287</f>
        <v>0.40126306076162116</v>
      </c>
      <c r="O209" s="9">
        <f>'Model inputs'!N12*'Model inputs'!AB287</f>
        <v>0.43119990772354005</v>
      </c>
      <c r="P209" s="9">
        <f>'Model inputs'!O12*'Model inputs'!AB287</f>
        <v>0.45963991233736307</v>
      </c>
      <c r="Q209" s="9">
        <f>'Model inputs'!P12*'Model inputs'!AB287</f>
        <v>0.48665791672049497</v>
      </c>
      <c r="R209" s="9">
        <f>'Model inputs'!Q12*'Model inputs'!AB287</f>
        <v>0.5123250208844702</v>
      </c>
      <c r="S209" s="9">
        <f>'Model inputs'!R12*'Model inputs'!AB287</f>
        <v>0.5367087698402467</v>
      </c>
      <c r="T209" s="9">
        <f>'Model inputs'!S12*'Model inputs'!AB287</f>
        <v>0.5598733313482344</v>
      </c>
      <c r="U209" s="9">
        <f>'Model inputs'!T12*'Model inputs'!AB287</f>
        <v>0.5818796647808226</v>
      </c>
      <c r="V209" s="9">
        <f>'Model inputs'!U12*'Model inputs'!AB287</f>
        <v>0.6027856815417816</v>
      </c>
      <c r="W209" s="9">
        <f>'Model inputs'!V12*'Model inputs'!AB287</f>
        <v>0.6226463974646924</v>
      </c>
      <c r="X209" s="9">
        <f>'Model inputs'!W12*'Model inputs'!AB287</f>
        <v>0.6415140775914578</v>
      </c>
      <c r="Y209" s="9">
        <f>'Model inputs'!X12*'Model inputs'!AB287</f>
        <v>0.659438373711885</v>
      </c>
      <c r="Z209" s="9">
        <f>'Model inputs'!Y12*'Model inputs'!AB287</f>
        <v>0.6764664550262908</v>
      </c>
      <c r="AA209" s="9">
        <f>'Model inputs'!Z12*'Model inputs'!AB287</f>
        <v>0.6926431322749762</v>
      </c>
      <c r="AD209" s="9">
        <f>0*'Model inputs'!AB287</f>
        <v>0</v>
      </c>
      <c r="AE209" s="9">
        <f>'Model inputs'!AD178*'Model inputs'!AB287</f>
        <v>0</v>
      </c>
      <c r="AF209" s="9">
        <f>'Model inputs'!AE178*'Model inputs'!AB287</f>
        <v>0</v>
      </c>
      <c r="AG209" s="9">
        <f>'Model inputs'!AF178*'Model inputs'!AB287</f>
        <v>0</v>
      </c>
      <c r="AH209" s="9">
        <f>'Model inputs'!AG178*'Model inputs'!AB287</f>
        <v>0</v>
      </c>
      <c r="AI209" s="9">
        <f>'Model inputs'!AH178*'Model inputs'!AB287</f>
        <v>0</v>
      </c>
      <c r="AJ209" s="9">
        <f>'Model inputs'!AI178*'Model inputs'!AB287</f>
        <v>0</v>
      </c>
      <c r="AK209" s="9">
        <f>'Model inputs'!AJ178*'Model inputs'!AB287</f>
        <v>0</v>
      </c>
    </row>
    <row r="210" outlineLevel="1">
      <c r="A210" t="inlineStr" s="24">
        <is>
          <t xml:space="preserve">Lost subscriptions &gt; Team</t>
        </is>
      </c>
      <c r="B210" s="9">
        <f>'Model inputs'!AK179*'Model inputs'!AB287</f>
        <v>0</v>
      </c>
      <c r="C210" s="9">
        <f>'Model inputs'!B13*'Model inputs'!AB287</f>
        <v>0</v>
      </c>
      <c r="D210" s="9">
        <f>'Model inputs'!C13*'Model inputs'!AB287</f>
        <v>0</v>
      </c>
      <c r="E210" s="9">
        <f>'Model inputs'!D13*'Model inputs'!AB287</f>
        <v>0.05</v>
      </c>
      <c r="F210" s="9">
        <f>'Model inputs'!E13*'Model inputs'!AB287</f>
        <v>0.0975</v>
      </c>
      <c r="G210" s="9">
        <f>'Model inputs'!F13*'Model inputs'!AB287</f>
        <v>0.142625</v>
      </c>
      <c r="H210" s="9">
        <f>'Model inputs'!G13*'Model inputs'!AB287</f>
        <v>0.18549375</v>
      </c>
      <c r="I210" s="9">
        <f>'Model inputs'!H13*'Model inputs'!AB287</f>
        <v>0.2262190625</v>
      </c>
      <c r="J210" s="9">
        <f>'Model inputs'!I13*'Model inputs'!AB287</f>
        <v>0.26490810937500003</v>
      </c>
      <c r="K210" s="9">
        <f>'Model inputs'!J13*'Model inputs'!AB287</f>
        <v>0.30166270390625005</v>
      </c>
      <c r="L210" s="9">
        <f>'Model inputs'!K13*'Model inputs'!AB287</f>
        <v>0.3365795687109375</v>
      </c>
      <c r="M210" s="9">
        <f>'Model inputs'!L13*'Model inputs'!AB287</f>
        <v>0.36975059027539064</v>
      </c>
      <c r="N210" s="9">
        <f>'Model inputs'!M13*'Model inputs'!AB287</f>
        <v>0.40126306076162116</v>
      </c>
      <c r="O210" s="9">
        <f>'Model inputs'!N13*'Model inputs'!AB287</f>
        <v>0.43119990772354005</v>
      </c>
      <c r="P210" s="9">
        <f>'Model inputs'!O13*'Model inputs'!AB287</f>
        <v>0.45963991233736307</v>
      </c>
      <c r="Q210" s="9">
        <f>'Model inputs'!P13*'Model inputs'!AB287</f>
        <v>0.48665791672049497</v>
      </c>
      <c r="R210" s="9">
        <f>'Model inputs'!Q13*'Model inputs'!AB287</f>
        <v>0.5123250208844702</v>
      </c>
      <c r="S210" s="9">
        <f>'Model inputs'!R13*'Model inputs'!AB287</f>
        <v>0.5367087698402467</v>
      </c>
      <c r="T210" s="9">
        <f>'Model inputs'!S13*'Model inputs'!AB287</f>
        <v>0.5598733313482344</v>
      </c>
      <c r="U210" s="9">
        <f>'Model inputs'!T13*'Model inputs'!AB287</f>
        <v>0.5818796647808226</v>
      </c>
      <c r="V210" s="9">
        <f>'Model inputs'!U13*'Model inputs'!AB287</f>
        <v>0.6027856815417816</v>
      </c>
      <c r="W210" s="9">
        <f>'Model inputs'!V13*'Model inputs'!AB287</f>
        <v>0.6226463974646924</v>
      </c>
      <c r="X210" s="9">
        <f>'Model inputs'!W13*'Model inputs'!AB287</f>
        <v>0.6415140775914578</v>
      </c>
      <c r="Y210" s="9">
        <f>'Model inputs'!X13*'Model inputs'!AB287</f>
        <v>0.659438373711885</v>
      </c>
      <c r="Z210" s="9">
        <f>'Model inputs'!Y13*'Model inputs'!AB287</f>
        <v>0.6764664550262908</v>
      </c>
      <c r="AA210" s="9">
        <f>'Model inputs'!Z13*'Model inputs'!AB287</f>
        <v>0.6926431322749762</v>
      </c>
      <c r="AD210" s="9">
        <f>0*'Model inputs'!AB287</f>
        <v>0</v>
      </c>
      <c r="AE210" s="9">
        <f>'Model inputs'!AD179*'Model inputs'!AB287</f>
        <v>0</v>
      </c>
      <c r="AF210" s="9">
        <f>'Model inputs'!AE179*'Model inputs'!AB287</f>
        <v>0</v>
      </c>
      <c r="AG210" s="9">
        <f>'Model inputs'!AF179*'Model inputs'!AB287</f>
        <v>0</v>
      </c>
      <c r="AH210" s="9">
        <f>'Model inputs'!AG179*'Model inputs'!AB287</f>
        <v>0</v>
      </c>
      <c r="AI210" s="9">
        <f>'Model inputs'!AH179*'Model inputs'!AB287</f>
        <v>0</v>
      </c>
      <c r="AJ210" s="9">
        <f>'Model inputs'!AI179*'Model inputs'!AB287</f>
        <v>0</v>
      </c>
      <c r="AK210" s="9">
        <f>'Model inputs'!AJ179*'Model inputs'!AB287</f>
        <v>0</v>
      </c>
    </row>
    <row r="211">
      <c r="A211" t="inlineStr" s="23">
        <is>
          <t xml:space="preserve">Lost subscriptions</t>
        </is>
      </c>
      <c r="B211" s="6">
        <f>SUM('Model inputs'!B212,'Model inputs'!B213,'Model inputs'!B214)</f>
        <v>0</v>
      </c>
      <c r="C211" s="6">
        <f>SUM('Model inputs'!C212,'Model inputs'!C213,'Model inputs'!C214)</f>
        <v>0</v>
      </c>
      <c r="D211" s="6">
        <f>SUM('Model inputs'!D212,'Model inputs'!D213,'Model inputs'!D214)</f>
        <v>0</v>
      </c>
      <c r="E211" s="6">
        <f>SUM('Model inputs'!E212,'Model inputs'!E213,'Model inputs'!E214)</f>
        <v>0.16</v>
      </c>
      <c r="F211" s="6">
        <f>SUM('Model inputs'!F212,'Model inputs'!F213,'Model inputs'!F214)</f>
        <v>0.3296</v>
      </c>
      <c r="G211" s="6">
        <f>SUM('Model inputs'!G212,'Model inputs'!G213,'Model inputs'!G214)</f>
        <v>0.509632</v>
      </c>
      <c r="H211" s="6">
        <f>SUM('Model inputs'!H212,'Model inputs'!H213,'Model inputs'!H214)</f>
        <v>0.70099328</v>
      </c>
      <c r="I211" s="6">
        <f>SUM('Model inputs'!I212,'Model inputs'!I213,'Model inputs'!I214)</f>
        <v>0.9046516480000002</v>
      </c>
      <c r="J211" s="6">
        <f>SUM('Model inputs'!J212,'Model inputs'!J213,'Model inputs'!J214)</f>
        <v>1.1216511073280004</v>
      </c>
      <c r="K211" s="6">
        <f>SUM('Model inputs'!K212,'Model inputs'!K213,'Model inputs'!K214)</f>
        <v>1.3531179768524804</v>
      </c>
      <c r="L211" s="6">
        <f>SUM('Model inputs'!L212,'Model inputs'!L213,'Model inputs'!L214)</f>
        <v>1.600267500320154</v>
      </c>
      <c r="M211" s="6">
        <f>SUM('Model inputs'!M212,'Model inputs'!M213,'Model inputs'!M214)</f>
        <v>1.864410983958852</v>
      </c>
      <c r="N211" s="6">
        <f>SUM('Model inputs'!N212,'Model inputs'!N213,'Model inputs'!N214)</f>
        <v>2.1469635046163846</v>
      </c>
      <c r="O211" s="6">
        <f>SUM('Model inputs'!O212,'Model inputs'!O213,'Model inputs'!O214)</f>
        <v>2.449452234087703</v>
      </c>
      <c r="P211" s="6">
        <f>SUM('Model inputs'!P212,'Model inputs'!P213,'Model inputs'!P214)</f>
        <v>2.7735254289346867</v>
      </c>
      <c r="Q211" s="6">
        <f>SUM('Model inputs'!Q212,'Model inputs'!Q213,'Model inputs'!Q214)</f>
        <v>3.1209621390470303</v>
      </c>
      <c r="R211" s="6">
        <f>SUM('Model inputs'!R212,'Model inputs'!R213,'Model inputs'!R214)</f>
        <v>3.4936826924524094</v>
      </c>
      <c r="S211" s="6">
        <f>SUM('Model inputs'!S212,'Model inputs'!S213,'Model inputs'!S214)</f>
        <v>3.8937600184845866</v>
      </c>
      <c r="T211" s="6">
        <f>SUM('Model inputs'!T212,'Model inputs'!T213,'Model inputs'!T214)</f>
        <v>4.323431876386619</v>
      </c>
      <c r="U211" s="6">
        <f>SUM('Model inputs'!U212,'Model inputs'!U213,'Model inputs'!U214)</f>
        <v>4.785114061792348</v>
      </c>
      <c r="V211" s="6">
        <f>SUM('Model inputs'!V212,'Model inputs'!V213,'Model inputs'!V214)</f>
        <v>5.281414669324639</v>
      </c>
      <c r="W211" s="6">
        <f>SUM('Model inputs'!W212,'Model inputs'!W213,'Model inputs'!W214)</f>
        <v>5.815149495807736</v>
      </c>
      <c r="X211" s="6">
        <f>SUM('Model inputs'!X212,'Model inputs'!X213,'Model inputs'!X214)</f>
        <v>6.3893586753507385</v>
      </c>
      <c r="Y211" s="6">
        <f>SUM('Model inputs'!Y212,'Model inputs'!Y213,'Model inputs'!Y214)</f>
        <v>7.0073246448596125</v>
      </c>
      <c r="Z211" s="6">
        <f>SUM('Model inputs'!Z212,'Model inputs'!Z213,'Model inputs'!Z214)</f>
        <v>7.67259154641958</v>
      </c>
      <c r="AA211" s="6">
        <f>SUM('Model inputs'!AA212,'Model inputs'!AA213,'Model inputs'!AA214)</f>
        <v>8.388986181504922</v>
      </c>
      <c r="AD211" s="6">
        <f>SUM('Model inputs'!AD212,'Model inputs'!AD213,'Model inputs'!AD214)</f>
        <v>0</v>
      </c>
      <c r="AE211" s="6">
        <f>SUM('Model inputs'!AE212,'Model inputs'!AE213,'Model inputs'!AE214)</f>
        <v>0</v>
      </c>
      <c r="AF211" s="6">
        <f>SUM('Model inputs'!AF212,'Model inputs'!AF213,'Model inputs'!AF214)</f>
        <v>0</v>
      </c>
      <c r="AG211" s="6">
        <f>SUM('Model inputs'!AG212,'Model inputs'!AG213,'Model inputs'!AG214)</f>
        <v>0</v>
      </c>
      <c r="AH211" s="6">
        <f>SUM('Model inputs'!AH212,'Model inputs'!AH213,'Model inputs'!AH214)</f>
        <v>0</v>
      </c>
      <c r="AI211" s="6">
        <f>SUM('Model inputs'!AI212,'Model inputs'!AI213,'Model inputs'!AI214)</f>
        <v>0</v>
      </c>
      <c r="AJ211" s="6">
        <f>SUM('Model inputs'!AJ212,'Model inputs'!AJ213,'Model inputs'!AJ214)</f>
        <v>0</v>
      </c>
      <c r="AK211" s="6">
        <f>SUM('Model inputs'!AK212,'Model inputs'!AK213,'Model inputs'!AK214)</f>
        <v>0</v>
      </c>
    </row>
    <row r="212" outlineLevel="1">
      <c r="A212" t="inlineStr" s="24">
        <is>
          <t xml:space="preserve">Lost subscriptions &gt; Agency</t>
        </is>
      </c>
      <c r="B212" s="9">
        <f>'Model inputs'!AK181*'Model inputs'!AB288</f>
        <v>0</v>
      </c>
      <c r="C212" s="9">
        <f>'Model inputs'!B15*'Model inputs'!AB288</f>
        <v>0</v>
      </c>
      <c r="D212" s="9">
        <f>'Model inputs'!C15*'Model inputs'!AB288</f>
        <v>0</v>
      </c>
      <c r="E212" s="9">
        <f>'Model inputs'!D15*'Model inputs'!AB288</f>
        <v>0.02</v>
      </c>
      <c r="F212" s="9">
        <f>'Model inputs'!E15*'Model inputs'!AB288</f>
        <v>0.0412</v>
      </c>
      <c r="G212" s="9">
        <f>'Model inputs'!F15*'Model inputs'!AB288</f>
        <v>0.063704</v>
      </c>
      <c r="H212" s="9">
        <f>'Model inputs'!G15*'Model inputs'!AB288</f>
        <v>0.08762416</v>
      </c>
      <c r="I212" s="9">
        <f>'Model inputs'!H15*'Model inputs'!AB288</f>
        <v>0.11308145600000001</v>
      </c>
      <c r="J212" s="9">
        <f>'Model inputs'!I15*'Model inputs'!AB288</f>
        <v>0.14020638841600006</v>
      </c>
      <c r="K212" s="9">
        <f>'Model inputs'!J15*'Model inputs'!AB288</f>
        <v>0.16913974710656005</v>
      </c>
      <c r="L212" s="9">
        <f>'Model inputs'!K15*'Model inputs'!AB288</f>
        <v>0.20003343754001926</v>
      </c>
      <c r="M212" s="9">
        <f>'Model inputs'!L15*'Model inputs'!AB288</f>
        <v>0.2330513729948565</v>
      </c>
      <c r="N212" s="9">
        <f>'Model inputs'!M15*'Model inputs'!AB288</f>
        <v>0.2683704380770481</v>
      </c>
      <c r="O212" s="9">
        <f>'Model inputs'!N15*'Model inputs'!AB288</f>
        <v>0.30618152926096287</v>
      </c>
      <c r="P212" s="9">
        <f>'Model inputs'!O15*'Model inputs'!AB288</f>
        <v>0.3466906786168358</v>
      </c>
      <c r="Q212" s="9">
        <f>'Model inputs'!P15*'Model inputs'!AB288</f>
        <v>0.3901202673808788</v>
      </c>
      <c r="R212" s="9">
        <f>'Model inputs'!Q15*'Model inputs'!AB288</f>
        <v>0.43671033655655117</v>
      </c>
      <c r="S212" s="9">
        <f>'Model inputs'!R15*'Model inputs'!AB288</f>
        <v>0.48672000231057333</v>
      </c>
      <c r="T212" s="9">
        <f>'Model inputs'!S15*'Model inputs'!AB288</f>
        <v>0.5404289845483273</v>
      </c>
      <c r="U212" s="9">
        <f>'Model inputs'!T15*'Model inputs'!AB288</f>
        <v>0.5981392577240435</v>
      </c>
      <c r="V212" s="9">
        <f>'Model inputs'!U15*'Model inputs'!AB288</f>
        <v>0.6601768336655799</v>
      </c>
      <c r="W212" s="9">
        <f>'Model inputs'!V15*'Model inputs'!AB288</f>
        <v>0.7268936869759669</v>
      </c>
      <c r="X212" s="9">
        <f>'Model inputs'!W15*'Model inputs'!AB288</f>
        <v>0.7986698344188422</v>
      </c>
      <c r="Y212" s="9">
        <f>'Model inputs'!X15*'Model inputs'!AB288</f>
        <v>0.8759155806074514</v>
      </c>
      <c r="Z212" s="9">
        <f>'Model inputs'!Y15*'Model inputs'!AB288</f>
        <v>0.9590739433024474</v>
      </c>
      <c r="AA212" s="9">
        <f>'Model inputs'!Z15*'Model inputs'!AB288</f>
        <v>1.048623272688115</v>
      </c>
      <c r="AD212" s="9">
        <f>0*'Model inputs'!AB288</f>
        <v>0</v>
      </c>
      <c r="AE212" s="9">
        <f>'Model inputs'!AD181*'Model inputs'!AB288</f>
        <v>0</v>
      </c>
      <c r="AF212" s="9">
        <f>'Model inputs'!AE181*'Model inputs'!AB288</f>
        <v>0</v>
      </c>
      <c r="AG212" s="9">
        <f>'Model inputs'!AF181*'Model inputs'!AB288</f>
        <v>0</v>
      </c>
      <c r="AH212" s="9">
        <f>'Model inputs'!AG181*'Model inputs'!AB288</f>
        <v>0</v>
      </c>
      <c r="AI212" s="9">
        <f>'Model inputs'!AH181*'Model inputs'!AB288</f>
        <v>0</v>
      </c>
      <c r="AJ212" s="9">
        <f>'Model inputs'!AI181*'Model inputs'!AB288</f>
        <v>0</v>
      </c>
      <c r="AK212" s="9">
        <f>'Model inputs'!AJ181*'Model inputs'!AB288</f>
        <v>0</v>
      </c>
    </row>
    <row r="213" outlineLevel="1">
      <c r="A213" t="inlineStr" s="24">
        <is>
          <t xml:space="preserve">Lost subscriptions &gt; Developer</t>
        </is>
      </c>
      <c r="B213" s="9">
        <f>'Model inputs'!AK182*'Model inputs'!AB288</f>
        <v>0</v>
      </c>
      <c r="C213" s="9">
        <f>'Model inputs'!B16*'Model inputs'!AB288</f>
        <v>0</v>
      </c>
      <c r="D213" s="9">
        <f>'Model inputs'!C16*'Model inputs'!AB288</f>
        <v>0</v>
      </c>
      <c r="E213" s="9">
        <f>'Model inputs'!D16*'Model inputs'!AB288</f>
        <v>0.08</v>
      </c>
      <c r="F213" s="9">
        <f>'Model inputs'!E16*'Model inputs'!AB288</f>
        <v>0.1648</v>
      </c>
      <c r="G213" s="9">
        <f>'Model inputs'!F16*'Model inputs'!AB288</f>
        <v>0.254816</v>
      </c>
      <c r="H213" s="9">
        <f>'Model inputs'!G16*'Model inputs'!AB288</f>
        <v>0.35049664</v>
      </c>
      <c r="I213" s="9">
        <f>'Model inputs'!H16*'Model inputs'!AB288</f>
        <v>0.45232582400000004</v>
      </c>
      <c r="J213" s="9">
        <f>'Model inputs'!I16*'Model inputs'!AB288</f>
        <v>0.5608255536640002</v>
      </c>
      <c r="K213" s="9">
        <f>'Model inputs'!J16*'Model inputs'!AB288</f>
        <v>0.6765589884262402</v>
      </c>
      <c r="L213" s="9">
        <f>'Model inputs'!K16*'Model inputs'!AB288</f>
        <v>0.800133750160077</v>
      </c>
      <c r="M213" s="9">
        <f>'Model inputs'!L16*'Model inputs'!AB288</f>
        <v>0.932205491979426</v>
      </c>
      <c r="N213" s="9">
        <f>'Model inputs'!M16*'Model inputs'!AB288</f>
        <v>1.0734817523081923</v>
      </c>
      <c r="O213" s="9">
        <f>'Model inputs'!N16*'Model inputs'!AB288</f>
        <v>1.2247261170438515</v>
      </c>
      <c r="P213" s="9">
        <f>'Model inputs'!O16*'Model inputs'!AB288</f>
        <v>1.3867627144673431</v>
      </c>
      <c r="Q213" s="9">
        <f>'Model inputs'!P16*'Model inputs'!AB288</f>
        <v>1.5604810695235152</v>
      </c>
      <c r="R213" s="9">
        <f>'Model inputs'!Q16*'Model inputs'!AB288</f>
        <v>1.7468413462262047</v>
      </c>
      <c r="S213" s="9">
        <f>'Model inputs'!R16*'Model inputs'!AB288</f>
        <v>1.9468800092422933</v>
      </c>
      <c r="T213" s="9">
        <f>'Model inputs'!S16*'Model inputs'!AB288</f>
        <v>2.1617159381933093</v>
      </c>
      <c r="U213" s="9">
        <f>'Model inputs'!T16*'Model inputs'!AB288</f>
        <v>2.392557030896174</v>
      </c>
      <c r="V213" s="9">
        <f>'Model inputs'!U16*'Model inputs'!AB288</f>
        <v>2.6407073346623195</v>
      </c>
      <c r="W213" s="9">
        <f>'Model inputs'!V16*'Model inputs'!AB288</f>
        <v>2.9075747479038676</v>
      </c>
      <c r="X213" s="9">
        <f>'Model inputs'!W16*'Model inputs'!AB288</f>
        <v>3.194679337675369</v>
      </c>
      <c r="Y213" s="9">
        <f>'Model inputs'!X16*'Model inputs'!AB288</f>
        <v>3.503662322429806</v>
      </c>
      <c r="Z213" s="9">
        <f>'Model inputs'!Y16*'Model inputs'!AB288</f>
        <v>3.8362957732097898</v>
      </c>
      <c r="AA213" s="9">
        <f>'Model inputs'!Z16*'Model inputs'!AB288</f>
        <v>4.19449309075246</v>
      </c>
      <c r="AD213" s="9">
        <f>0*'Model inputs'!AB288</f>
        <v>0</v>
      </c>
      <c r="AE213" s="9">
        <f>'Model inputs'!AD182*'Model inputs'!AB288</f>
        <v>0</v>
      </c>
      <c r="AF213" s="9">
        <f>'Model inputs'!AE182*'Model inputs'!AB288</f>
        <v>0</v>
      </c>
      <c r="AG213" s="9">
        <f>'Model inputs'!AF182*'Model inputs'!AB288</f>
        <v>0</v>
      </c>
      <c r="AH213" s="9">
        <f>'Model inputs'!AG182*'Model inputs'!AB288</f>
        <v>0</v>
      </c>
      <c r="AI213" s="9">
        <f>'Model inputs'!AH182*'Model inputs'!AB288</f>
        <v>0</v>
      </c>
      <c r="AJ213" s="9">
        <f>'Model inputs'!AI182*'Model inputs'!AB288</f>
        <v>0</v>
      </c>
      <c r="AK213" s="9">
        <f>'Model inputs'!AJ182*'Model inputs'!AB288</f>
        <v>0</v>
      </c>
    </row>
    <row r="214" outlineLevel="1">
      <c r="A214" t="inlineStr" s="24">
        <is>
          <t xml:space="preserve">Lost subscriptions &gt; Team</t>
        </is>
      </c>
      <c r="B214" s="9">
        <f>'Model inputs'!AK183*'Model inputs'!AB288</f>
        <v>0</v>
      </c>
      <c r="C214" s="9">
        <f>'Model inputs'!B17*'Model inputs'!AB288</f>
        <v>0</v>
      </c>
      <c r="D214" s="9">
        <f>'Model inputs'!C17*'Model inputs'!AB288</f>
        <v>0</v>
      </c>
      <c r="E214" s="9">
        <f>'Model inputs'!D17*'Model inputs'!AB288</f>
        <v>0.06</v>
      </c>
      <c r="F214" s="9">
        <f>'Model inputs'!E17*'Model inputs'!AB288</f>
        <v>0.12360000000000002</v>
      </c>
      <c r="G214" s="9">
        <f>'Model inputs'!F17*'Model inputs'!AB288</f>
        <v>0.19111200000000003</v>
      </c>
      <c r="H214" s="9">
        <f>'Model inputs'!G17*'Model inputs'!AB288</f>
        <v>0.2628724800000001</v>
      </c>
      <c r="I214" s="9">
        <f>'Model inputs'!H17*'Model inputs'!AB288</f>
        <v>0.3392443680000001</v>
      </c>
      <c r="J214" s="9">
        <f>'Model inputs'!I17*'Model inputs'!AB288</f>
        <v>0.42061916524800014</v>
      </c>
      <c r="K214" s="9">
        <f>'Model inputs'!J17*'Model inputs'!AB288</f>
        <v>0.5074192413196802</v>
      </c>
      <c r="L214" s="9">
        <f>'Model inputs'!K17*'Model inputs'!AB288</f>
        <v>0.6001003126200578</v>
      </c>
      <c r="M214" s="9">
        <f>'Model inputs'!L17*'Model inputs'!AB288</f>
        <v>0.6991541189845697</v>
      </c>
      <c r="N214" s="9">
        <f>'Model inputs'!M17*'Model inputs'!AB288</f>
        <v>0.8051113142311443</v>
      </c>
      <c r="O214" s="9">
        <f>'Model inputs'!N17*'Model inputs'!AB288</f>
        <v>0.9185445877828888</v>
      </c>
      <c r="P214" s="9">
        <f>'Model inputs'!O17*'Model inputs'!AB288</f>
        <v>1.0400720358505078</v>
      </c>
      <c r="Q214" s="9">
        <f>'Model inputs'!P17*'Model inputs'!AB288</f>
        <v>1.1703608021426364</v>
      </c>
      <c r="R214" s="9">
        <f>'Model inputs'!Q17*'Model inputs'!AB288</f>
        <v>1.3101310096696535</v>
      </c>
      <c r="S214" s="9">
        <f>'Model inputs'!R17*'Model inputs'!AB288</f>
        <v>1.46016000693172</v>
      </c>
      <c r="T214" s="9">
        <f>'Model inputs'!S17*'Model inputs'!AB288</f>
        <v>1.621286953644982</v>
      </c>
      <c r="U214" s="9">
        <f>'Model inputs'!T17*'Model inputs'!AB288</f>
        <v>1.7944177731721305</v>
      </c>
      <c r="V214" s="9">
        <f>'Model inputs'!U17*'Model inputs'!AB288</f>
        <v>1.9805305009967398</v>
      </c>
      <c r="W214" s="9">
        <f>'Model inputs'!V17*'Model inputs'!AB288</f>
        <v>2.1806810609279013</v>
      </c>
      <c r="X214" s="9">
        <f>'Model inputs'!W17*'Model inputs'!AB288</f>
        <v>2.396009503256527</v>
      </c>
      <c r="Y214" s="9">
        <f>'Model inputs'!X17*'Model inputs'!AB288</f>
        <v>2.6277467418223552</v>
      </c>
      <c r="Z214" s="9">
        <f>'Model inputs'!Y17*'Model inputs'!AB288</f>
        <v>2.8772218299073433</v>
      </c>
      <c r="AA214" s="9">
        <f>'Model inputs'!Z17*'Model inputs'!AB288</f>
        <v>3.1458698180643467</v>
      </c>
      <c r="AD214" s="9">
        <f>0*'Model inputs'!AB288</f>
        <v>0</v>
      </c>
      <c r="AE214" s="9">
        <f>'Model inputs'!AD183*'Model inputs'!AB288</f>
        <v>0</v>
      </c>
      <c r="AF214" s="9">
        <f>'Model inputs'!AE183*'Model inputs'!AB288</f>
        <v>0</v>
      </c>
      <c r="AG214" s="9">
        <f>'Model inputs'!AF183*'Model inputs'!AB288</f>
        <v>0</v>
      </c>
      <c r="AH214" s="9">
        <f>'Model inputs'!AG183*'Model inputs'!AB288</f>
        <v>0</v>
      </c>
      <c r="AI214" s="9">
        <f>'Model inputs'!AH183*'Model inputs'!AB288</f>
        <v>0</v>
      </c>
      <c r="AJ214" s="9">
        <f>'Model inputs'!AI183*'Model inputs'!AB288</f>
        <v>0</v>
      </c>
      <c r="AK214" s="9">
        <f>'Model inputs'!AJ183*'Model inputs'!AB288</f>
        <v>0</v>
      </c>
    </row>
    <row r="215">
      <c r="A215" t="inlineStr" s="23">
        <is>
          <t xml:space="preserve">Monthly price</t>
        </is>
      </c>
      <c r="AB215" s="11">
        <v>0</v>
      </c>
    </row>
    <row r="216" outlineLevel="1">
      <c r="A216" t="inlineStr" s="24">
        <is>
          <t xml:space="preserve">Monthly price &gt; Agency</t>
        </is>
      </c>
      <c r="AB216" s="14">
        <f>'CheckoutGuard — Business pl (2)'!B5</f>
        <v>299</v>
      </c>
    </row>
    <row r="217" outlineLevel="1">
      <c r="A217" t="inlineStr" s="24">
        <is>
          <t xml:space="preserve">Monthly price &gt; Developer</t>
        </is>
      </c>
      <c r="AB217" s="14">
        <f>'CheckoutGuard — Business pl (2)'!B6</f>
        <v>29</v>
      </c>
    </row>
    <row r="218" outlineLevel="1">
      <c r="A218" t="inlineStr" s="24">
        <is>
          <t xml:space="preserve">Monthly price &gt; Team</t>
        </is>
      </c>
      <c r="AB218" s="14">
        <f>'CheckoutGuard — Business pl (2)'!B7</f>
        <v>99</v>
      </c>
    </row>
    <row r="219">
      <c r="A219" t="inlineStr" s="23">
        <is>
          <t xml:space="preserve">Monthly price</t>
        </is>
      </c>
      <c r="AB219" s="11">
        <v>0</v>
      </c>
    </row>
    <row r="220" outlineLevel="1">
      <c r="A220" t="inlineStr" s="24">
        <is>
          <t xml:space="preserve">Monthly price &gt; Agency</t>
        </is>
      </c>
      <c r="AB220" s="14">
        <f>'CheckoutGuard — Business pl (2)'!B5</f>
        <v>299</v>
      </c>
    </row>
    <row r="221" outlineLevel="1">
      <c r="A221" t="inlineStr" s="24">
        <is>
          <t xml:space="preserve">Monthly price &gt; Developer</t>
        </is>
      </c>
      <c r="AB221" s="14">
        <f>'CheckoutGuard — Business pl (2)'!B6</f>
        <v>29</v>
      </c>
    </row>
    <row r="222" outlineLevel="1">
      <c r="A222" t="inlineStr" s="24">
        <is>
          <t xml:space="preserve">Monthly price &gt; Team</t>
        </is>
      </c>
      <c r="AB222" s="14">
        <f>'CheckoutGuard — Business pl (2)'!B7</f>
        <v>99</v>
      </c>
    </row>
    <row r="223">
      <c r="A223" t="inlineStr" s="23">
        <is>
          <t xml:space="preserve">New paid subscriptions</t>
        </is>
      </c>
      <c r="B223" s="6">
        <f>IF('Model inputs'!B64="","",'Model inputs'!B64)</f>
        <v>0</v>
      </c>
      <c r="C223" s="6">
        <f>IF('Model inputs'!C64="","",'Model inputs'!C64)</f>
        <v>0</v>
      </c>
      <c r="D223" s="6">
        <f>IF('Model inputs'!D64="","",'Model inputs'!D64)</f>
        <v>4.5</v>
      </c>
      <c r="E223" s="6">
        <f>IF('Model inputs'!E64="","",'Model inputs'!E64)</f>
        <v>4.725</v>
      </c>
      <c r="F223" s="6">
        <f>IF('Model inputs'!F64="","",'Model inputs'!F64)</f>
        <v>4.96125</v>
      </c>
      <c r="G223" s="6">
        <f>IF('Model inputs'!G64="","",'Model inputs'!G64)</f>
        <v>5.209312500000001</v>
      </c>
      <c r="H223" s="6">
        <f>IF('Model inputs'!H64="","",'Model inputs'!H64)</f>
        <v>5.469778125000002</v>
      </c>
      <c r="I223" s="6">
        <f>IF('Model inputs'!I64="","",'Model inputs'!I64)</f>
        <v>5.743267031250001</v>
      </c>
      <c r="J223" s="6">
        <f>IF('Model inputs'!J64="","",'Model inputs'!J64)</f>
        <v>6.030430382812502</v>
      </c>
      <c r="K223" s="6">
        <f>IF('Model inputs'!K64="","",'Model inputs'!K64)</f>
        <v>6.331951901953127</v>
      </c>
      <c r="L223" s="6">
        <f>IF('Model inputs'!L64="","",'Model inputs'!L64)</f>
        <v>6.648549497050785</v>
      </c>
      <c r="M223" s="6">
        <f>IF('Model inputs'!M64="","",'Model inputs'!M64)</f>
        <v>6.980976971903324</v>
      </c>
      <c r="N223" s="6">
        <f>IF('Model inputs'!N64="","",'Model inputs'!N64)</f>
        <v>7.33002582049849</v>
      </c>
      <c r="O223" s="6">
        <f>IF('Model inputs'!O64="","",'Model inputs'!O64)</f>
        <v>7.696527111523415</v>
      </c>
      <c r="P223" s="6">
        <f>IF('Model inputs'!P64="","",'Model inputs'!P64)</f>
        <v>8.081353467099586</v>
      </c>
      <c r="Q223" s="6">
        <f>IF('Model inputs'!Q64="","",'Model inputs'!Q64)</f>
        <v>8.485421140454566</v>
      </c>
      <c r="R223" s="6">
        <f>IF('Model inputs'!R64="","",'Model inputs'!R64)</f>
        <v>8.909692197477295</v>
      </c>
      <c r="S223" s="6">
        <f>IF('Model inputs'!S64="","",'Model inputs'!S64)</f>
        <v>9.35517680735116</v>
      </c>
      <c r="T223" s="6">
        <f>IF('Model inputs'!T64="","",'Model inputs'!T64)</f>
        <v>9.822935647718715</v>
      </c>
      <c r="U223" s="6">
        <f>IF('Model inputs'!U64="","",'Model inputs'!U64)</f>
        <v>10.314082430104653</v>
      </c>
      <c r="V223" s="6">
        <f>IF('Model inputs'!V64="","",'Model inputs'!V64)</f>
        <v>10.829786551609885</v>
      </c>
      <c r="W223" s="6">
        <f>IF('Model inputs'!W64="","",'Model inputs'!W64)</f>
        <v>11.371275879190382</v>
      </c>
      <c r="X223" s="6">
        <f>IF('Model inputs'!X64="","",'Model inputs'!X64)</f>
        <v>11.9398396731499</v>
      </c>
      <c r="Y223" s="6">
        <f>IF('Model inputs'!Y64="","",'Model inputs'!Y64)</f>
        <v>12.536831656807397</v>
      </c>
      <c r="Z223" s="6">
        <f>IF('Model inputs'!Z64="","",'Model inputs'!Z64)</f>
        <v>13.163673239647768</v>
      </c>
      <c r="AA223" s="6">
        <f>IF('Model inputs'!AA64="","",'Model inputs'!AA64)</f>
        <v>13.821856901630158</v>
      </c>
      <c r="AD223" s="6">
        <f>SUM('Model inputs'!AD224,'Model inputs'!AD225,'Model inputs'!AD226)</f>
        <v>0</v>
      </c>
      <c r="AE223" s="6">
        <f>SUM('Model inputs'!AE224,'Model inputs'!AE225,'Model inputs'!AE226)</f>
        <v>0</v>
      </c>
      <c r="AF223" s="6">
        <f>SUM('Model inputs'!AF224,'Model inputs'!AF225,'Model inputs'!AF226)</f>
        <v>0</v>
      </c>
      <c r="AG223" s="6">
        <f>SUM('Model inputs'!AG224,'Model inputs'!AG225,'Model inputs'!AG226)</f>
        <v>0</v>
      </c>
      <c r="AH223" s="6">
        <f>SUM('Model inputs'!AH224,'Model inputs'!AH225,'Model inputs'!AH226)</f>
        <v>0</v>
      </c>
      <c r="AI223" s="6">
        <f>SUM('Model inputs'!AI224,'Model inputs'!AI225,'Model inputs'!AI226)</f>
        <v>0</v>
      </c>
      <c r="AJ223" s="6">
        <f>SUM('Model inputs'!AJ224,'Model inputs'!AJ225,'Model inputs'!AJ226)</f>
        <v>0</v>
      </c>
      <c r="AK223" s="6">
        <f>SUM('Model inputs'!AK224,'Model inputs'!AK225,'Model inputs'!AK226)</f>
        <v>0</v>
      </c>
    </row>
    <row r="224" outlineLevel="1">
      <c r="A224" t="inlineStr" s="24">
        <is>
          <t xml:space="preserve">New paid subscriptions &gt; Agency</t>
        </is>
      </c>
      <c r="B224" s="9">
        <f>IF('Model inputs'!B65="","",'Model inputs'!B65)</f>
        <v>0</v>
      </c>
      <c r="C224" s="9">
        <f>IF('Model inputs'!C65="","",'Model inputs'!C65)</f>
        <v>0</v>
      </c>
      <c r="D224" s="9">
        <f>IF('Model inputs'!D65="","",'Model inputs'!D65)</f>
        <v>0.5</v>
      </c>
      <c r="E224" s="9">
        <f>IF('Model inputs'!E65="","",'Model inputs'!E65)</f>
        <v>0.525</v>
      </c>
      <c r="F224" s="9">
        <f>IF('Model inputs'!F65="","",'Model inputs'!F65)</f>
        <v>0.55125</v>
      </c>
      <c r="G224" s="9">
        <f>IF('Model inputs'!G65="","",'Model inputs'!G65)</f>
        <v>0.5788125000000001</v>
      </c>
      <c r="H224" s="9">
        <f>IF('Model inputs'!H65="","",'Model inputs'!H65)</f>
        <v>0.6077531250000002</v>
      </c>
      <c r="I224" s="9">
        <f>IF('Model inputs'!I65="","",'Model inputs'!I65)</f>
        <v>0.6381407812500002</v>
      </c>
      <c r="J224" s="9">
        <f>IF('Model inputs'!J65="","",'Model inputs'!J65)</f>
        <v>0.6700478203125002</v>
      </c>
      <c r="K224" s="9">
        <f>IF('Model inputs'!K65="","",'Model inputs'!K65)</f>
        <v>0.7035502113281252</v>
      </c>
      <c r="L224" s="9">
        <f>IF('Model inputs'!L65="","",'Model inputs'!L65)</f>
        <v>0.7387277218945316</v>
      </c>
      <c r="M224" s="9">
        <f>IF('Model inputs'!M65="","",'Model inputs'!M65)</f>
        <v>0.7756641079892582</v>
      </c>
      <c r="N224" s="9">
        <f>IF('Model inputs'!N65="","",'Model inputs'!N65)</f>
        <v>0.8144473133887211</v>
      </c>
      <c r="O224" s="9">
        <f>IF('Model inputs'!O65="","",'Model inputs'!O65)</f>
        <v>0.8551696790581572</v>
      </c>
      <c r="P224" s="9">
        <f>IF('Model inputs'!P65="","",'Model inputs'!P65)</f>
        <v>0.897928163011065</v>
      </c>
      <c r="Q224" s="9">
        <f>IF('Model inputs'!Q65="","",'Model inputs'!Q65)</f>
        <v>0.9428245711616183</v>
      </c>
      <c r="R224" s="9">
        <f>IF('Model inputs'!R65="","",'Model inputs'!R65)</f>
        <v>0.9899657997196993</v>
      </c>
      <c r="S224" s="9">
        <f>IF('Model inputs'!S65="","",'Model inputs'!S65)</f>
        <v>1.0394640897056844</v>
      </c>
      <c r="T224" s="9">
        <f>IF('Model inputs'!T65="","",'Model inputs'!T65)</f>
        <v>1.0914372941909685</v>
      </c>
      <c r="U224" s="9">
        <f>IF('Model inputs'!U65="","",'Model inputs'!U65)</f>
        <v>1.146009158900517</v>
      </c>
      <c r="V224" s="9">
        <f>IF('Model inputs'!V65="","",'Model inputs'!V65)</f>
        <v>1.2033096168455428</v>
      </c>
      <c r="W224" s="9">
        <f>IF('Model inputs'!W65="","",'Model inputs'!W65)</f>
        <v>1.2634750976878202</v>
      </c>
      <c r="X224" s="9">
        <f>IF('Model inputs'!X65="","",'Model inputs'!X65)</f>
        <v>1.326648852572211</v>
      </c>
      <c r="Y224" s="9">
        <f>IF('Model inputs'!Y65="","",'Model inputs'!Y65)</f>
        <v>1.3929812952008218</v>
      </c>
      <c r="Z224" s="9">
        <f>IF('Model inputs'!Z65="","",'Model inputs'!Z65)</f>
        <v>1.462630359960863</v>
      </c>
      <c r="AA224" s="9">
        <f>IF('Model inputs'!AA65="","",'Model inputs'!AA65)</f>
        <v>1.5357618779589064</v>
      </c>
      <c r="AD224" s="9">
        <f>'Model inputs'!AD305*'Model inputs'!AB72</f>
        <v>0</v>
      </c>
      <c r="AE224" s="9">
        <f>'Model inputs'!AE305*'Model inputs'!AB72</f>
        <v>0</v>
      </c>
      <c r="AF224" s="9">
        <f>'Model inputs'!AF305*'Model inputs'!AB72</f>
        <v>0</v>
      </c>
      <c r="AG224" s="9">
        <f>'Model inputs'!AG305*'Model inputs'!AB72</f>
        <v>0</v>
      </c>
      <c r="AH224" s="9">
        <f>'Model inputs'!AH305*'Model inputs'!AB72</f>
        <v>0</v>
      </c>
      <c r="AI224" s="9">
        <f>'Model inputs'!AI305*'Model inputs'!AB72</f>
        <v>0</v>
      </c>
      <c r="AJ224" s="9">
        <f>'Model inputs'!AJ305*'Model inputs'!AB72</f>
        <v>0</v>
      </c>
      <c r="AK224" s="9">
        <f>'Model inputs'!AK305*'Model inputs'!AB72</f>
        <v>0</v>
      </c>
    </row>
    <row r="225" outlineLevel="1">
      <c r="A225" t="inlineStr" s="24">
        <is>
          <t xml:space="preserve">New paid subscriptions &gt; Developer</t>
        </is>
      </c>
      <c r="B225" s="9">
        <f>IF('Model inputs'!B66="","",'Model inputs'!B66)</f>
        <v>0</v>
      </c>
      <c r="C225" s="9">
        <f>IF('Model inputs'!C66="","",'Model inputs'!C66)</f>
        <v>0</v>
      </c>
      <c r="D225" s="9">
        <f>IF('Model inputs'!D66="","",'Model inputs'!D66)</f>
        <v>2</v>
      </c>
      <c r="E225" s="9">
        <f>IF('Model inputs'!E66="","",'Model inputs'!E66)</f>
        <v>2.1</v>
      </c>
      <c r="F225" s="9">
        <f>IF('Model inputs'!F66="","",'Model inputs'!F66)</f>
        <v>2.205</v>
      </c>
      <c r="G225" s="9">
        <f>IF('Model inputs'!G66="","",'Model inputs'!G66)</f>
        <v>2.3152500000000003</v>
      </c>
      <c r="H225" s="9">
        <f>IF('Model inputs'!H66="","",'Model inputs'!H66)</f>
        <v>2.431012500000001</v>
      </c>
      <c r="I225" s="9">
        <f>IF('Model inputs'!I66="","",'Model inputs'!I66)</f>
        <v>2.5525631250000007</v>
      </c>
      <c r="J225" s="9">
        <f>IF('Model inputs'!J66="","",'Model inputs'!J66)</f>
        <v>2.680191281250001</v>
      </c>
      <c r="K225" s="9">
        <f>IF('Model inputs'!K66="","",'Model inputs'!K66)</f>
        <v>2.814200845312501</v>
      </c>
      <c r="L225" s="9">
        <f>IF('Model inputs'!L66="","",'Model inputs'!L66)</f>
        <v>2.9549108875781265</v>
      </c>
      <c r="M225" s="9">
        <f>IF('Model inputs'!M66="","",'Model inputs'!M66)</f>
        <v>3.102656431957033</v>
      </c>
      <c r="N225" s="9">
        <f>IF('Model inputs'!N66="","",'Model inputs'!N66)</f>
        <v>3.2577892535548845</v>
      </c>
      <c r="O225" s="9">
        <f>IF('Model inputs'!O66="","",'Model inputs'!O66)</f>
        <v>3.420678716232629</v>
      </c>
      <c r="P225" s="9">
        <f>IF('Model inputs'!P66="","",'Model inputs'!P66)</f>
        <v>3.59171265204426</v>
      </c>
      <c r="Q225" s="9">
        <f>IF('Model inputs'!Q66="","",'Model inputs'!Q66)</f>
        <v>3.7712982846464733</v>
      </c>
      <c r="R225" s="9">
        <f>IF('Model inputs'!R66="","",'Model inputs'!R66)</f>
        <v>3.9598631988787973</v>
      </c>
      <c r="S225" s="9">
        <f>IF('Model inputs'!S66="","",'Model inputs'!S66)</f>
        <v>4.1578563588227375</v>
      </c>
      <c r="T225" s="9">
        <f>IF('Model inputs'!T66="","",'Model inputs'!T66)</f>
        <v>4.365749176763874</v>
      </c>
      <c r="U225" s="9">
        <f>IF('Model inputs'!U66="","",'Model inputs'!U66)</f>
        <v>4.584036635602068</v>
      </c>
      <c r="V225" s="9">
        <f>IF('Model inputs'!V66="","",'Model inputs'!V66)</f>
        <v>4.813238467382171</v>
      </c>
      <c r="W225" s="9">
        <f>IF('Model inputs'!W66="","",'Model inputs'!W66)</f>
        <v>5.053900390751281</v>
      </c>
      <c r="X225" s="9">
        <f>IF('Model inputs'!X66="","",'Model inputs'!X66)</f>
        <v>5.306595410288844</v>
      </c>
      <c r="Y225" s="9">
        <f>IF('Model inputs'!Y66="","",'Model inputs'!Y66)</f>
        <v>5.571925180803287</v>
      </c>
      <c r="Z225" s="9">
        <f>IF('Model inputs'!Z66="","",'Model inputs'!Z66)</f>
        <v>5.850521439843452</v>
      </c>
      <c r="AA225" s="9">
        <f>IF('Model inputs'!AA66="","",'Model inputs'!AA66)</f>
        <v>6.143047511835626</v>
      </c>
      <c r="AD225" s="9">
        <f>'Model inputs'!AD306*'Model inputs'!AB73</f>
        <v>0</v>
      </c>
      <c r="AE225" s="9">
        <f>'Model inputs'!AE306*'Model inputs'!AB73</f>
        <v>0</v>
      </c>
      <c r="AF225" s="9">
        <f>'Model inputs'!AF306*'Model inputs'!AB73</f>
        <v>0</v>
      </c>
      <c r="AG225" s="9">
        <f>'Model inputs'!AG306*'Model inputs'!AB73</f>
        <v>0</v>
      </c>
      <c r="AH225" s="9">
        <f>'Model inputs'!AH306*'Model inputs'!AB73</f>
        <v>0</v>
      </c>
      <c r="AI225" s="9">
        <f>'Model inputs'!AI306*'Model inputs'!AB73</f>
        <v>0</v>
      </c>
      <c r="AJ225" s="9">
        <f>'Model inputs'!AJ306*'Model inputs'!AB73</f>
        <v>0</v>
      </c>
      <c r="AK225" s="9">
        <f>'Model inputs'!AK306*'Model inputs'!AB73</f>
        <v>0</v>
      </c>
    </row>
    <row r="226" outlineLevel="1">
      <c r="A226" t="inlineStr" s="24">
        <is>
          <t xml:space="preserve">New paid subscriptions &gt; Team</t>
        </is>
      </c>
      <c r="B226" s="9">
        <f>IF('Model inputs'!B67="","",'Model inputs'!B67)</f>
        <v>0</v>
      </c>
      <c r="C226" s="9">
        <f>IF('Model inputs'!C67="","",'Model inputs'!C67)</f>
        <v>0</v>
      </c>
      <c r="D226" s="9">
        <f>IF('Model inputs'!D67="","",'Model inputs'!D67)</f>
        <v>2</v>
      </c>
      <c r="E226" s="9">
        <f>IF('Model inputs'!E67="","",'Model inputs'!E67)</f>
        <v>2.1</v>
      </c>
      <c r="F226" s="9">
        <f>IF('Model inputs'!F67="","",'Model inputs'!F67)</f>
        <v>2.205</v>
      </c>
      <c r="G226" s="9">
        <f>IF('Model inputs'!G67="","",'Model inputs'!G67)</f>
        <v>2.3152500000000003</v>
      </c>
      <c r="H226" s="9">
        <f>IF('Model inputs'!H67="","",'Model inputs'!H67)</f>
        <v>2.431012500000001</v>
      </c>
      <c r="I226" s="9">
        <f>IF('Model inputs'!I67="","",'Model inputs'!I67)</f>
        <v>2.5525631250000007</v>
      </c>
      <c r="J226" s="9">
        <f>IF('Model inputs'!J67="","",'Model inputs'!J67)</f>
        <v>2.680191281250001</v>
      </c>
      <c r="K226" s="9">
        <f>IF('Model inputs'!K67="","",'Model inputs'!K67)</f>
        <v>2.814200845312501</v>
      </c>
      <c r="L226" s="9">
        <f>IF('Model inputs'!L67="","",'Model inputs'!L67)</f>
        <v>2.9549108875781265</v>
      </c>
      <c r="M226" s="9">
        <f>IF('Model inputs'!M67="","",'Model inputs'!M67)</f>
        <v>3.102656431957033</v>
      </c>
      <c r="N226" s="9">
        <f>IF('Model inputs'!N67="","",'Model inputs'!N67)</f>
        <v>3.2577892535548845</v>
      </c>
      <c r="O226" s="9">
        <f>IF('Model inputs'!O67="","",'Model inputs'!O67)</f>
        <v>3.420678716232629</v>
      </c>
      <c r="P226" s="9">
        <f>IF('Model inputs'!P67="","",'Model inputs'!P67)</f>
        <v>3.59171265204426</v>
      </c>
      <c r="Q226" s="9">
        <f>IF('Model inputs'!Q67="","",'Model inputs'!Q67)</f>
        <v>3.7712982846464733</v>
      </c>
      <c r="R226" s="9">
        <f>IF('Model inputs'!R67="","",'Model inputs'!R67)</f>
        <v>3.9598631988787973</v>
      </c>
      <c r="S226" s="9">
        <f>IF('Model inputs'!S67="","",'Model inputs'!S67)</f>
        <v>4.1578563588227375</v>
      </c>
      <c r="T226" s="9">
        <f>IF('Model inputs'!T67="","",'Model inputs'!T67)</f>
        <v>4.365749176763874</v>
      </c>
      <c r="U226" s="9">
        <f>IF('Model inputs'!U67="","",'Model inputs'!U67)</f>
        <v>4.584036635602068</v>
      </c>
      <c r="V226" s="9">
        <f>IF('Model inputs'!V67="","",'Model inputs'!V67)</f>
        <v>4.813238467382171</v>
      </c>
      <c r="W226" s="9">
        <f>IF('Model inputs'!W67="","",'Model inputs'!W67)</f>
        <v>5.053900390751281</v>
      </c>
      <c r="X226" s="9">
        <f>IF('Model inputs'!X67="","",'Model inputs'!X67)</f>
        <v>5.306595410288844</v>
      </c>
      <c r="Y226" s="9">
        <f>IF('Model inputs'!Y67="","",'Model inputs'!Y67)</f>
        <v>5.571925180803287</v>
      </c>
      <c r="Z226" s="9">
        <f>IF('Model inputs'!Z67="","",'Model inputs'!Z67)</f>
        <v>5.850521439843452</v>
      </c>
      <c r="AA226" s="9">
        <f>IF('Model inputs'!AA67="","",'Model inputs'!AA67)</f>
        <v>6.143047511835626</v>
      </c>
      <c r="AD226" s="9">
        <f>'Model inputs'!AD307*'Model inputs'!AB74</f>
        <v>0</v>
      </c>
      <c r="AE226" s="9">
        <f>'Model inputs'!AE307*'Model inputs'!AB74</f>
        <v>0</v>
      </c>
      <c r="AF226" s="9">
        <f>'Model inputs'!AF307*'Model inputs'!AB74</f>
        <v>0</v>
      </c>
      <c r="AG226" s="9">
        <f>'Model inputs'!AG307*'Model inputs'!AB74</f>
        <v>0</v>
      </c>
      <c r="AH226" s="9">
        <f>'Model inputs'!AH307*'Model inputs'!AB74</f>
        <v>0</v>
      </c>
      <c r="AI226" s="9">
        <f>'Model inputs'!AI307*'Model inputs'!AB74</f>
        <v>0</v>
      </c>
      <c r="AJ226" s="9">
        <f>'Model inputs'!AJ307*'Model inputs'!AB74</f>
        <v>0</v>
      </c>
      <c r="AK226" s="9">
        <f>'Model inputs'!AK307*'Model inputs'!AB74</f>
        <v>0</v>
      </c>
    </row>
    <row r="227">
      <c r="A227" t="inlineStr" s="23">
        <is>
          <t xml:space="preserve">New paid subscriptions</t>
        </is>
      </c>
      <c r="B227" s="6">
        <f>SUM('Model inputs'!B228,'Model inputs'!B229,'Model inputs'!B230)</f>
        <v>0</v>
      </c>
      <c r="C227" s="6">
        <f>SUM('Model inputs'!C228,'Model inputs'!C229,'Model inputs'!C230)</f>
        <v>0</v>
      </c>
      <c r="D227" s="6">
        <f>SUM('Model inputs'!D228,'Model inputs'!D229,'Model inputs'!D230)</f>
        <v>2.25</v>
      </c>
      <c r="E227" s="6">
        <f>SUM('Model inputs'!E228,'Model inputs'!E229,'Model inputs'!E230)</f>
        <v>2.25</v>
      </c>
      <c r="F227" s="6">
        <f>SUM('Model inputs'!F228,'Model inputs'!F229,'Model inputs'!F230)</f>
        <v>2.25</v>
      </c>
      <c r="G227" s="6">
        <f>SUM('Model inputs'!G228,'Model inputs'!G229,'Model inputs'!G230)</f>
        <v>2.25</v>
      </c>
      <c r="H227" s="6">
        <f>SUM('Model inputs'!H228,'Model inputs'!H229,'Model inputs'!H230)</f>
        <v>2.25</v>
      </c>
      <c r="I227" s="6">
        <f>SUM('Model inputs'!I228,'Model inputs'!I229,'Model inputs'!I230)</f>
        <v>2.25</v>
      </c>
      <c r="J227" s="6">
        <f>SUM('Model inputs'!J228,'Model inputs'!J229,'Model inputs'!J230)</f>
        <v>2.25</v>
      </c>
      <c r="K227" s="6">
        <f>SUM('Model inputs'!K228,'Model inputs'!K229,'Model inputs'!K230)</f>
        <v>2.25</v>
      </c>
      <c r="L227" s="6">
        <f>SUM('Model inputs'!L228,'Model inputs'!L229,'Model inputs'!L230)</f>
        <v>2.25</v>
      </c>
      <c r="M227" s="6">
        <f>SUM('Model inputs'!M228,'Model inputs'!M229,'Model inputs'!M230)</f>
        <v>2.25</v>
      </c>
      <c r="N227" s="6">
        <f>SUM('Model inputs'!N228,'Model inputs'!N229,'Model inputs'!N230)</f>
        <v>2.25</v>
      </c>
      <c r="O227" s="6">
        <f>SUM('Model inputs'!O228,'Model inputs'!O229,'Model inputs'!O230)</f>
        <v>2.25</v>
      </c>
      <c r="P227" s="6">
        <f>SUM('Model inputs'!P228,'Model inputs'!P229,'Model inputs'!P230)</f>
        <v>2.25</v>
      </c>
      <c r="Q227" s="6">
        <f>SUM('Model inputs'!Q228,'Model inputs'!Q229,'Model inputs'!Q230)</f>
        <v>2.25</v>
      </c>
      <c r="R227" s="6">
        <f>SUM('Model inputs'!R228,'Model inputs'!R229,'Model inputs'!R230)</f>
        <v>2.25</v>
      </c>
      <c r="S227" s="6">
        <f>SUM('Model inputs'!S228,'Model inputs'!S229,'Model inputs'!S230)</f>
        <v>2.25</v>
      </c>
      <c r="T227" s="6">
        <f>SUM('Model inputs'!T228,'Model inputs'!T229,'Model inputs'!T230)</f>
        <v>2.25</v>
      </c>
      <c r="U227" s="6">
        <f>SUM('Model inputs'!U228,'Model inputs'!U229,'Model inputs'!U230)</f>
        <v>2.25</v>
      </c>
      <c r="V227" s="6">
        <f>SUM('Model inputs'!V228,'Model inputs'!V229,'Model inputs'!V230)</f>
        <v>2.25</v>
      </c>
      <c r="W227" s="6">
        <f>SUM('Model inputs'!W228,'Model inputs'!W229,'Model inputs'!W230)</f>
        <v>2.25</v>
      </c>
      <c r="X227" s="6">
        <f>SUM('Model inputs'!X228,'Model inputs'!X229,'Model inputs'!X230)</f>
        <v>2.25</v>
      </c>
      <c r="Y227" s="6">
        <f>SUM('Model inputs'!Y228,'Model inputs'!Y229,'Model inputs'!Y230)</f>
        <v>2.25</v>
      </c>
      <c r="Z227" s="6">
        <f>SUM('Model inputs'!Z228,'Model inputs'!Z229,'Model inputs'!Z230)</f>
        <v>2.25</v>
      </c>
      <c r="AA227" s="6">
        <f>SUM('Model inputs'!AA228,'Model inputs'!AA229,'Model inputs'!AA230)</f>
        <v>2.25</v>
      </c>
      <c r="AD227" s="6">
        <f>SUM('Model inputs'!AD228,'Model inputs'!AD229,'Model inputs'!AD230)</f>
        <v>0</v>
      </c>
      <c r="AE227" s="6">
        <f>SUM('Model inputs'!AE228,'Model inputs'!AE229,'Model inputs'!AE230)</f>
        <v>0</v>
      </c>
      <c r="AF227" s="6">
        <f>SUM('Model inputs'!AF228,'Model inputs'!AF229,'Model inputs'!AF230)</f>
        <v>0</v>
      </c>
      <c r="AG227" s="6">
        <f>SUM('Model inputs'!AG228,'Model inputs'!AG229,'Model inputs'!AG230)</f>
        <v>0</v>
      </c>
      <c r="AH227" s="6">
        <f>SUM('Model inputs'!AH228,'Model inputs'!AH229,'Model inputs'!AH230)</f>
        <v>0</v>
      </c>
      <c r="AI227" s="6">
        <f>SUM('Model inputs'!AI228,'Model inputs'!AI229,'Model inputs'!AI230)</f>
        <v>0</v>
      </c>
      <c r="AJ227" s="6">
        <f>SUM('Model inputs'!AJ228,'Model inputs'!AJ229,'Model inputs'!AJ230)</f>
        <v>0</v>
      </c>
      <c r="AK227" s="6">
        <f>SUM('Model inputs'!AK228,'Model inputs'!AK229,'Model inputs'!AK230)</f>
        <v>0</v>
      </c>
    </row>
    <row r="228" outlineLevel="1">
      <c r="A228" t="inlineStr" s="24">
        <is>
          <t xml:space="preserve">New paid subscriptions &gt; Agency</t>
        </is>
      </c>
      <c r="B228" s="9">
        <f>'Model inputs'!B309*'Model inputs'!AB293</f>
        <v>0</v>
      </c>
      <c r="C228" s="9">
        <f>'Model inputs'!C309*'Model inputs'!AB293</f>
        <v>0</v>
      </c>
      <c r="D228" s="9">
        <f>'Model inputs'!D309*'Model inputs'!AB293</f>
        <v>0.25</v>
      </c>
      <c r="E228" s="9">
        <f>'Model inputs'!E309*'Model inputs'!AB293</f>
        <v>0.25</v>
      </c>
      <c r="F228" s="9">
        <f>'Model inputs'!F309*'Model inputs'!AB293</f>
        <v>0.25</v>
      </c>
      <c r="G228" s="9">
        <f>'Model inputs'!G309*'Model inputs'!AB293</f>
        <v>0.25</v>
      </c>
      <c r="H228" s="9">
        <f>'Model inputs'!H309*'Model inputs'!AB293</f>
        <v>0.25</v>
      </c>
      <c r="I228" s="9">
        <f>'Model inputs'!I309*'Model inputs'!AB293</f>
        <v>0.25</v>
      </c>
      <c r="J228" s="9">
        <f>'Model inputs'!J309*'Model inputs'!AB293</f>
        <v>0.25</v>
      </c>
      <c r="K228" s="9">
        <f>'Model inputs'!K309*'Model inputs'!AB293</f>
        <v>0.25</v>
      </c>
      <c r="L228" s="9">
        <f>'Model inputs'!L309*'Model inputs'!AB293</f>
        <v>0.25</v>
      </c>
      <c r="M228" s="9">
        <f>'Model inputs'!M309*'Model inputs'!AB293</f>
        <v>0.25</v>
      </c>
      <c r="N228" s="9">
        <f>'Model inputs'!N309*'Model inputs'!AB293</f>
        <v>0.25</v>
      </c>
      <c r="O228" s="9">
        <f>'Model inputs'!O309*'Model inputs'!AB293</f>
        <v>0.25</v>
      </c>
      <c r="P228" s="9">
        <f>'Model inputs'!P309*'Model inputs'!AB293</f>
        <v>0.25</v>
      </c>
      <c r="Q228" s="9">
        <f>'Model inputs'!Q309*'Model inputs'!AB293</f>
        <v>0.25</v>
      </c>
      <c r="R228" s="9">
        <f>'Model inputs'!R309*'Model inputs'!AB293</f>
        <v>0.25</v>
      </c>
      <c r="S228" s="9">
        <f>'Model inputs'!S309*'Model inputs'!AB293</f>
        <v>0.25</v>
      </c>
      <c r="T228" s="9">
        <f>'Model inputs'!T309*'Model inputs'!AB293</f>
        <v>0.25</v>
      </c>
      <c r="U228" s="9">
        <f>'Model inputs'!U309*'Model inputs'!AB293</f>
        <v>0.25</v>
      </c>
      <c r="V228" s="9">
        <f>'Model inputs'!V309*'Model inputs'!AB293</f>
        <v>0.25</v>
      </c>
      <c r="W228" s="9">
        <f>'Model inputs'!W309*'Model inputs'!AB293</f>
        <v>0.25</v>
      </c>
      <c r="X228" s="9">
        <f>'Model inputs'!X309*'Model inputs'!AB293</f>
        <v>0.25</v>
      </c>
      <c r="Y228" s="9">
        <f>'Model inputs'!Y309*'Model inputs'!AB293</f>
        <v>0.25</v>
      </c>
      <c r="Z228" s="9">
        <f>'Model inputs'!Z309*'Model inputs'!AB293</f>
        <v>0.25</v>
      </c>
      <c r="AA228" s="9">
        <f>'Model inputs'!AA309*'Model inputs'!AB293</f>
        <v>0.25</v>
      </c>
      <c r="AD228" s="9">
        <f>'Model inputs'!AD309*'Model inputs'!AB293</f>
        <v>0</v>
      </c>
      <c r="AE228" s="9">
        <f>'Model inputs'!AE309*'Model inputs'!AB293</f>
        <v>0</v>
      </c>
      <c r="AF228" s="9">
        <f>'Model inputs'!AF309*'Model inputs'!AB293</f>
        <v>0</v>
      </c>
      <c r="AG228" s="9">
        <f>'Model inputs'!AG309*'Model inputs'!AB293</f>
        <v>0</v>
      </c>
      <c r="AH228" s="9">
        <f>'Model inputs'!AH309*'Model inputs'!AB293</f>
        <v>0</v>
      </c>
      <c r="AI228" s="9">
        <f>'Model inputs'!AI309*'Model inputs'!AB293</f>
        <v>0</v>
      </c>
      <c r="AJ228" s="9">
        <f>'Model inputs'!AJ309*'Model inputs'!AB293</f>
        <v>0</v>
      </c>
      <c r="AK228" s="9">
        <f>'Model inputs'!AK309*'Model inputs'!AB293</f>
        <v>0</v>
      </c>
    </row>
    <row r="229" outlineLevel="1">
      <c r="A229" t="inlineStr" s="24">
        <is>
          <t xml:space="preserve">New paid subscriptions &gt; Developer</t>
        </is>
      </c>
      <c r="B229" s="9">
        <f>'Model inputs'!B310*'Model inputs'!AB294</f>
        <v>0</v>
      </c>
      <c r="C229" s="9">
        <f>'Model inputs'!C310*'Model inputs'!AB294</f>
        <v>0</v>
      </c>
      <c r="D229" s="9">
        <f>'Model inputs'!D310*'Model inputs'!AB294</f>
        <v>1</v>
      </c>
      <c r="E229" s="9">
        <f>'Model inputs'!E310*'Model inputs'!AB294</f>
        <v>1</v>
      </c>
      <c r="F229" s="9">
        <f>'Model inputs'!F310*'Model inputs'!AB294</f>
        <v>1</v>
      </c>
      <c r="G229" s="9">
        <f>'Model inputs'!G310*'Model inputs'!AB294</f>
        <v>1</v>
      </c>
      <c r="H229" s="9">
        <f>'Model inputs'!H310*'Model inputs'!AB294</f>
        <v>1</v>
      </c>
      <c r="I229" s="9">
        <f>'Model inputs'!I310*'Model inputs'!AB294</f>
        <v>1</v>
      </c>
      <c r="J229" s="9">
        <f>'Model inputs'!J310*'Model inputs'!AB294</f>
        <v>1</v>
      </c>
      <c r="K229" s="9">
        <f>'Model inputs'!K310*'Model inputs'!AB294</f>
        <v>1</v>
      </c>
      <c r="L229" s="9">
        <f>'Model inputs'!L310*'Model inputs'!AB294</f>
        <v>1</v>
      </c>
      <c r="M229" s="9">
        <f>'Model inputs'!M310*'Model inputs'!AB294</f>
        <v>1</v>
      </c>
      <c r="N229" s="9">
        <f>'Model inputs'!N310*'Model inputs'!AB294</f>
        <v>1</v>
      </c>
      <c r="O229" s="9">
        <f>'Model inputs'!O310*'Model inputs'!AB294</f>
        <v>1</v>
      </c>
      <c r="P229" s="9">
        <f>'Model inputs'!P310*'Model inputs'!AB294</f>
        <v>1</v>
      </c>
      <c r="Q229" s="9">
        <f>'Model inputs'!Q310*'Model inputs'!AB294</f>
        <v>1</v>
      </c>
      <c r="R229" s="9">
        <f>'Model inputs'!R310*'Model inputs'!AB294</f>
        <v>1</v>
      </c>
      <c r="S229" s="9">
        <f>'Model inputs'!S310*'Model inputs'!AB294</f>
        <v>1</v>
      </c>
      <c r="T229" s="9">
        <f>'Model inputs'!T310*'Model inputs'!AB294</f>
        <v>1</v>
      </c>
      <c r="U229" s="9">
        <f>'Model inputs'!U310*'Model inputs'!AB294</f>
        <v>1</v>
      </c>
      <c r="V229" s="9">
        <f>'Model inputs'!V310*'Model inputs'!AB294</f>
        <v>1</v>
      </c>
      <c r="W229" s="9">
        <f>'Model inputs'!W310*'Model inputs'!AB294</f>
        <v>1</v>
      </c>
      <c r="X229" s="9">
        <f>'Model inputs'!X310*'Model inputs'!AB294</f>
        <v>1</v>
      </c>
      <c r="Y229" s="9">
        <f>'Model inputs'!Y310*'Model inputs'!AB294</f>
        <v>1</v>
      </c>
      <c r="Z229" s="9">
        <f>'Model inputs'!Z310*'Model inputs'!AB294</f>
        <v>1</v>
      </c>
      <c r="AA229" s="9">
        <f>'Model inputs'!AA310*'Model inputs'!AB294</f>
        <v>1</v>
      </c>
      <c r="AD229" s="9">
        <f>'Model inputs'!AD310*'Model inputs'!AB294</f>
        <v>0</v>
      </c>
      <c r="AE229" s="9">
        <f>'Model inputs'!AE310*'Model inputs'!AB294</f>
        <v>0</v>
      </c>
      <c r="AF229" s="9">
        <f>'Model inputs'!AF310*'Model inputs'!AB294</f>
        <v>0</v>
      </c>
      <c r="AG229" s="9">
        <f>'Model inputs'!AG310*'Model inputs'!AB294</f>
        <v>0</v>
      </c>
      <c r="AH229" s="9">
        <f>'Model inputs'!AH310*'Model inputs'!AB294</f>
        <v>0</v>
      </c>
      <c r="AI229" s="9">
        <f>'Model inputs'!AI310*'Model inputs'!AB294</f>
        <v>0</v>
      </c>
      <c r="AJ229" s="9">
        <f>'Model inputs'!AJ310*'Model inputs'!AB294</f>
        <v>0</v>
      </c>
      <c r="AK229" s="9">
        <f>'Model inputs'!AK310*'Model inputs'!AB294</f>
        <v>0</v>
      </c>
    </row>
    <row r="230" outlineLevel="1">
      <c r="A230" t="inlineStr" s="24">
        <is>
          <t xml:space="preserve">New paid subscriptions &gt; Team</t>
        </is>
      </c>
      <c r="B230" s="9">
        <f>'Model inputs'!B311*'Model inputs'!AB295</f>
        <v>0</v>
      </c>
      <c r="C230" s="9">
        <f>'Model inputs'!C311*'Model inputs'!AB295</f>
        <v>0</v>
      </c>
      <c r="D230" s="9">
        <f>'Model inputs'!D311*'Model inputs'!AB295</f>
        <v>1</v>
      </c>
      <c r="E230" s="9">
        <f>'Model inputs'!E311*'Model inputs'!AB295</f>
        <v>1</v>
      </c>
      <c r="F230" s="9">
        <f>'Model inputs'!F311*'Model inputs'!AB295</f>
        <v>1</v>
      </c>
      <c r="G230" s="9">
        <f>'Model inputs'!G311*'Model inputs'!AB295</f>
        <v>1</v>
      </c>
      <c r="H230" s="9">
        <f>'Model inputs'!H311*'Model inputs'!AB295</f>
        <v>1</v>
      </c>
      <c r="I230" s="9">
        <f>'Model inputs'!I311*'Model inputs'!AB295</f>
        <v>1</v>
      </c>
      <c r="J230" s="9">
        <f>'Model inputs'!J311*'Model inputs'!AB295</f>
        <v>1</v>
      </c>
      <c r="K230" s="9">
        <f>'Model inputs'!K311*'Model inputs'!AB295</f>
        <v>1</v>
      </c>
      <c r="L230" s="9">
        <f>'Model inputs'!L311*'Model inputs'!AB295</f>
        <v>1</v>
      </c>
      <c r="M230" s="9">
        <f>'Model inputs'!M311*'Model inputs'!AB295</f>
        <v>1</v>
      </c>
      <c r="N230" s="9">
        <f>'Model inputs'!N311*'Model inputs'!AB295</f>
        <v>1</v>
      </c>
      <c r="O230" s="9">
        <f>'Model inputs'!O311*'Model inputs'!AB295</f>
        <v>1</v>
      </c>
      <c r="P230" s="9">
        <f>'Model inputs'!P311*'Model inputs'!AB295</f>
        <v>1</v>
      </c>
      <c r="Q230" s="9">
        <f>'Model inputs'!Q311*'Model inputs'!AB295</f>
        <v>1</v>
      </c>
      <c r="R230" s="9">
        <f>'Model inputs'!R311*'Model inputs'!AB295</f>
        <v>1</v>
      </c>
      <c r="S230" s="9">
        <f>'Model inputs'!S311*'Model inputs'!AB295</f>
        <v>1</v>
      </c>
      <c r="T230" s="9">
        <f>'Model inputs'!T311*'Model inputs'!AB295</f>
        <v>1</v>
      </c>
      <c r="U230" s="9">
        <f>'Model inputs'!U311*'Model inputs'!AB295</f>
        <v>1</v>
      </c>
      <c r="V230" s="9">
        <f>'Model inputs'!V311*'Model inputs'!AB295</f>
        <v>1</v>
      </c>
      <c r="W230" s="9">
        <f>'Model inputs'!W311*'Model inputs'!AB295</f>
        <v>1</v>
      </c>
      <c r="X230" s="9">
        <f>'Model inputs'!X311*'Model inputs'!AB295</f>
        <v>1</v>
      </c>
      <c r="Y230" s="9">
        <f>'Model inputs'!Y311*'Model inputs'!AB295</f>
        <v>1</v>
      </c>
      <c r="Z230" s="9">
        <f>'Model inputs'!Z311*'Model inputs'!AB295</f>
        <v>1</v>
      </c>
      <c r="AA230" s="9">
        <f>'Model inputs'!AA311*'Model inputs'!AB295</f>
        <v>1</v>
      </c>
      <c r="AD230" s="9">
        <f>'Model inputs'!AD311*'Model inputs'!AB295</f>
        <v>0</v>
      </c>
      <c r="AE230" s="9">
        <f>'Model inputs'!AE311*'Model inputs'!AB295</f>
        <v>0</v>
      </c>
      <c r="AF230" s="9">
        <f>'Model inputs'!AF311*'Model inputs'!AB295</f>
        <v>0</v>
      </c>
      <c r="AG230" s="9">
        <f>'Model inputs'!AG311*'Model inputs'!AB295</f>
        <v>0</v>
      </c>
      <c r="AH230" s="9">
        <f>'Model inputs'!AH311*'Model inputs'!AB295</f>
        <v>0</v>
      </c>
      <c r="AI230" s="9">
        <f>'Model inputs'!AI311*'Model inputs'!AB295</f>
        <v>0</v>
      </c>
      <c r="AJ230" s="9">
        <f>'Model inputs'!AJ311*'Model inputs'!AB295</f>
        <v>0</v>
      </c>
      <c r="AK230" s="9">
        <f>'Model inputs'!AK311*'Model inputs'!AB295</f>
        <v>0</v>
      </c>
    </row>
    <row r="231">
      <c r="A231" t="inlineStr" s="23">
        <is>
          <t xml:space="preserve">New paid subscriptions</t>
        </is>
      </c>
      <c r="B231" s="6">
        <f>SUM('Model inputs'!B232,'Model inputs'!B233,'Model inputs'!B234)</f>
        <v>0</v>
      </c>
      <c r="C231" s="6">
        <f>SUM('Model inputs'!C232,'Model inputs'!C233,'Model inputs'!C234)</f>
        <v>0</v>
      </c>
      <c r="D231" s="6">
        <f>SUM('Model inputs'!D232,'Model inputs'!D233,'Model inputs'!D234)</f>
        <v>8</v>
      </c>
      <c r="E231" s="6">
        <f>SUM('Model inputs'!E232,'Model inputs'!E233,'Model inputs'!E234)</f>
        <v>8.64</v>
      </c>
      <c r="F231" s="6">
        <f>SUM('Model inputs'!F232,'Model inputs'!F233,'Model inputs'!F234)</f>
        <v>9.3312</v>
      </c>
      <c r="G231" s="6">
        <f>SUM('Model inputs'!G232,'Model inputs'!G233,'Model inputs'!G234)</f>
        <v>10.077696000000003</v>
      </c>
      <c r="H231" s="6">
        <f>SUM('Model inputs'!H232,'Model inputs'!H233,'Model inputs'!H234)</f>
        <v>10.883911680000004</v>
      </c>
      <c r="I231" s="6">
        <f>SUM('Model inputs'!I232,'Model inputs'!I233,'Model inputs'!I234)</f>
        <v>11.754624614400004</v>
      </c>
      <c r="J231" s="6">
        <f>SUM('Model inputs'!J232,'Model inputs'!J233,'Model inputs'!J234)</f>
        <v>12.694994583552003</v>
      </c>
      <c r="K231" s="6">
        <f>SUM('Model inputs'!K232,'Model inputs'!K233,'Model inputs'!K234)</f>
        <v>13.710594150236169</v>
      </c>
      <c r="L231" s="6">
        <f>SUM('Model inputs'!L232,'Model inputs'!L233,'Model inputs'!L234)</f>
        <v>14.80744168225506</v>
      </c>
      <c r="M231" s="6">
        <f>SUM('Model inputs'!M232,'Model inputs'!M233,'Model inputs'!M234)</f>
        <v>15.992037016835466</v>
      </c>
      <c r="N231" s="6">
        <f>SUM('Model inputs'!N232,'Model inputs'!N233,'Model inputs'!N234)</f>
        <v>17.271399978182306</v>
      </c>
      <c r="O231" s="6">
        <f>SUM('Model inputs'!O232,'Model inputs'!O233,'Model inputs'!O234)</f>
        <v>18.65311197643689</v>
      </c>
      <c r="P231" s="6">
        <f>SUM('Model inputs'!P232,'Model inputs'!P233,'Model inputs'!P234)</f>
        <v>20.145360934551846</v>
      </c>
      <c r="Q231" s="6">
        <f>SUM('Model inputs'!Q232,'Model inputs'!Q233,'Model inputs'!Q234)</f>
        <v>21.756989809315996</v>
      </c>
      <c r="R231" s="6">
        <f>SUM('Model inputs'!R232,'Model inputs'!R233,'Model inputs'!R234)</f>
        <v>23.497548994061276</v>
      </c>
      <c r="S231" s="6">
        <f>SUM('Model inputs'!S232,'Model inputs'!S233,'Model inputs'!S234)</f>
        <v>25.37735291358618</v>
      </c>
      <c r="T231" s="6">
        <f>SUM('Model inputs'!T232,'Model inputs'!T233,'Model inputs'!T234)</f>
        <v>27.40754114667307</v>
      </c>
      <c r="U231" s="6">
        <f>SUM('Model inputs'!U232,'Model inputs'!U233,'Model inputs'!U234)</f>
        <v>29.60014443840692</v>
      </c>
      <c r="V231" s="6">
        <f>SUM('Model inputs'!V232,'Model inputs'!V233,'Model inputs'!V234)</f>
        <v>31.96815599347947</v>
      </c>
      <c r="W231" s="6">
        <f>SUM('Model inputs'!W232,'Model inputs'!W233,'Model inputs'!W234)</f>
        <v>34.525608472957835</v>
      </c>
      <c r="X231" s="6">
        <f>SUM('Model inputs'!X232,'Model inputs'!X233,'Model inputs'!X234)</f>
        <v>37.287657150794466</v>
      </c>
      <c r="Y231" s="6">
        <f>SUM('Model inputs'!Y232,'Model inputs'!Y233,'Model inputs'!Y234)</f>
        <v>40.27066972285803</v>
      </c>
      <c r="Z231" s="6">
        <f>SUM('Model inputs'!Z232,'Model inputs'!Z233,'Model inputs'!Z234)</f>
        <v>43.49232330068668</v>
      </c>
      <c r="AA231" s="6">
        <f>SUM('Model inputs'!AA232,'Model inputs'!AA233,'Model inputs'!AA234)</f>
        <v>46.97170916474161</v>
      </c>
      <c r="AD231" s="6">
        <f>SUM('Model inputs'!AD232,'Model inputs'!AD233,'Model inputs'!AD234)</f>
        <v>0</v>
      </c>
      <c r="AE231" s="6">
        <f>SUM('Model inputs'!AE232,'Model inputs'!AE233,'Model inputs'!AE234)</f>
        <v>0</v>
      </c>
      <c r="AF231" s="6">
        <f>SUM('Model inputs'!AF232,'Model inputs'!AF233,'Model inputs'!AF234)</f>
        <v>0</v>
      </c>
      <c r="AG231" s="6">
        <f>SUM('Model inputs'!AG232,'Model inputs'!AG233,'Model inputs'!AG234)</f>
        <v>0</v>
      </c>
      <c r="AH231" s="6">
        <f>SUM('Model inputs'!AH232,'Model inputs'!AH233,'Model inputs'!AH234)</f>
        <v>0</v>
      </c>
      <c r="AI231" s="6">
        <f>SUM('Model inputs'!AI232,'Model inputs'!AI233,'Model inputs'!AI234)</f>
        <v>0</v>
      </c>
      <c r="AJ231" s="6">
        <f>SUM('Model inputs'!AJ232,'Model inputs'!AJ233,'Model inputs'!AJ234)</f>
        <v>0</v>
      </c>
      <c r="AK231" s="6">
        <f>SUM('Model inputs'!AK232,'Model inputs'!AK233,'Model inputs'!AK234)</f>
        <v>0</v>
      </c>
    </row>
    <row r="232" outlineLevel="1">
      <c r="A232" t="inlineStr" s="24">
        <is>
          <t xml:space="preserve">New paid subscriptions &gt; Agency</t>
        </is>
      </c>
      <c r="B232" s="9">
        <f>'Model inputs'!B313*'Model inputs'!AB297</f>
        <v>0</v>
      </c>
      <c r="C232" s="9">
        <f>'Model inputs'!C313*'Model inputs'!AB297</f>
        <v>0</v>
      </c>
      <c r="D232" s="9">
        <f>'Model inputs'!D313*'Model inputs'!AB297</f>
        <v>1</v>
      </c>
      <c r="E232" s="9">
        <f>'Model inputs'!E313*'Model inputs'!AB297</f>
        <v>1.08</v>
      </c>
      <c r="F232" s="9">
        <f>'Model inputs'!F313*'Model inputs'!AB297</f>
        <v>1.1664</v>
      </c>
      <c r="G232" s="9">
        <f>'Model inputs'!G313*'Model inputs'!AB297</f>
        <v>1.2597120000000004</v>
      </c>
      <c r="H232" s="9">
        <f>'Model inputs'!H313*'Model inputs'!AB297</f>
        <v>1.3604889600000005</v>
      </c>
      <c r="I232" s="9">
        <f>'Model inputs'!I313*'Model inputs'!AB297</f>
        <v>1.4693280768000005</v>
      </c>
      <c r="J232" s="9">
        <f>'Model inputs'!J313*'Model inputs'!AB297</f>
        <v>1.5868743229440005</v>
      </c>
      <c r="K232" s="9">
        <f>'Model inputs'!K313*'Model inputs'!AB297</f>
        <v>1.713824268779521</v>
      </c>
      <c r="L232" s="9">
        <f>'Model inputs'!L313*'Model inputs'!AB297</f>
        <v>1.8509302102818825</v>
      </c>
      <c r="M232" s="9">
        <f>'Model inputs'!M313*'Model inputs'!AB297</f>
        <v>1.9990046271044333</v>
      </c>
      <c r="N232" s="9">
        <f>'Model inputs'!N313*'Model inputs'!AB297</f>
        <v>2.158924997272788</v>
      </c>
      <c r="O232" s="9">
        <f>'Model inputs'!O313*'Model inputs'!AB297</f>
        <v>2.331638997054611</v>
      </c>
      <c r="P232" s="9">
        <f>'Model inputs'!P313*'Model inputs'!AB297</f>
        <v>2.5181701168189807</v>
      </c>
      <c r="Q232" s="9">
        <f>'Model inputs'!Q313*'Model inputs'!AB297</f>
        <v>2.7196237261644995</v>
      </c>
      <c r="R232" s="9">
        <f>'Model inputs'!R313*'Model inputs'!AB297</f>
        <v>2.9371936242576595</v>
      </c>
      <c r="S232" s="9">
        <f>'Model inputs'!S313*'Model inputs'!AB297</f>
        <v>3.1721691141982724</v>
      </c>
      <c r="T232" s="9">
        <f>'Model inputs'!T313*'Model inputs'!AB297</f>
        <v>3.425942643334134</v>
      </c>
      <c r="U232" s="9">
        <f>'Model inputs'!U313*'Model inputs'!AB297</f>
        <v>3.700018054800865</v>
      </c>
      <c r="V232" s="9">
        <f>'Model inputs'!V313*'Model inputs'!AB297</f>
        <v>3.9960194991849343</v>
      </c>
      <c r="W232" s="9">
        <f>'Model inputs'!W313*'Model inputs'!AB297</f>
        <v>4.315701059119729</v>
      </c>
      <c r="X232" s="9">
        <f>'Model inputs'!X313*'Model inputs'!AB297</f>
        <v>4.660957143849308</v>
      </c>
      <c r="Y232" s="9">
        <f>'Model inputs'!Y313*'Model inputs'!AB297</f>
        <v>5.033833715357254</v>
      </c>
      <c r="Z232" s="9">
        <f>'Model inputs'!Z313*'Model inputs'!AB297</f>
        <v>5.436540412585835</v>
      </c>
      <c r="AA232" s="9">
        <f>'Model inputs'!AA313*'Model inputs'!AB297</f>
        <v>5.871463645592701</v>
      </c>
      <c r="AD232" s="9">
        <f>'Model inputs'!AD313*'Model inputs'!AB297</f>
        <v>0</v>
      </c>
      <c r="AE232" s="9">
        <f>'Model inputs'!AE313*'Model inputs'!AB297</f>
        <v>0</v>
      </c>
      <c r="AF232" s="9">
        <f>'Model inputs'!AF313*'Model inputs'!AB297</f>
        <v>0</v>
      </c>
      <c r="AG232" s="9">
        <f>'Model inputs'!AG313*'Model inputs'!AB297</f>
        <v>0</v>
      </c>
      <c r="AH232" s="9">
        <f>'Model inputs'!AH313*'Model inputs'!AB297</f>
        <v>0</v>
      </c>
      <c r="AI232" s="9">
        <f>'Model inputs'!AI313*'Model inputs'!AB297</f>
        <v>0</v>
      </c>
      <c r="AJ232" s="9">
        <f>'Model inputs'!AJ313*'Model inputs'!AB297</f>
        <v>0</v>
      </c>
      <c r="AK232" s="9">
        <f>'Model inputs'!AK313*'Model inputs'!AB297</f>
        <v>0</v>
      </c>
    </row>
    <row r="233" outlineLevel="1">
      <c r="A233" t="inlineStr" s="24">
        <is>
          <t xml:space="preserve">New paid subscriptions &gt; Developer</t>
        </is>
      </c>
      <c r="B233" s="9">
        <f>'Model inputs'!B314*'Model inputs'!AB298</f>
        <v>0</v>
      </c>
      <c r="C233" s="9">
        <f>'Model inputs'!C314*'Model inputs'!AB298</f>
        <v>0</v>
      </c>
      <c r="D233" s="9">
        <f>'Model inputs'!D314*'Model inputs'!AB298</f>
        <v>4</v>
      </c>
      <c r="E233" s="9">
        <f>'Model inputs'!E314*'Model inputs'!AB298</f>
        <v>4.32</v>
      </c>
      <c r="F233" s="9">
        <f>'Model inputs'!F314*'Model inputs'!AB298</f>
        <v>4.6656</v>
      </c>
      <c r="G233" s="9">
        <f>'Model inputs'!G314*'Model inputs'!AB298</f>
        <v>5.0388480000000015</v>
      </c>
      <c r="H233" s="9">
        <f>'Model inputs'!H314*'Model inputs'!AB298</f>
        <v>5.441955840000002</v>
      </c>
      <c r="I233" s="9">
        <f>'Model inputs'!I314*'Model inputs'!AB298</f>
        <v>5.877312307200002</v>
      </c>
      <c r="J233" s="9">
        <f>'Model inputs'!J314*'Model inputs'!AB298</f>
        <v>6.347497291776002</v>
      </c>
      <c r="K233" s="9">
        <f>'Model inputs'!K314*'Model inputs'!AB298</f>
        <v>6.855297075118084</v>
      </c>
      <c r="L233" s="9">
        <f>'Model inputs'!L314*'Model inputs'!AB298</f>
        <v>7.40372084112753</v>
      </c>
      <c r="M233" s="9">
        <f>'Model inputs'!M314*'Model inputs'!AB298</f>
        <v>7.996018508417733</v>
      </c>
      <c r="N233" s="9">
        <f>'Model inputs'!N314*'Model inputs'!AB298</f>
        <v>8.635699989091153</v>
      </c>
      <c r="O233" s="9">
        <f>'Model inputs'!O314*'Model inputs'!AB298</f>
        <v>9.326555988218445</v>
      </c>
      <c r="P233" s="9">
        <f>'Model inputs'!P314*'Model inputs'!AB298</f>
        <v>10.072680467275923</v>
      </c>
      <c r="Q233" s="9">
        <f>'Model inputs'!Q314*'Model inputs'!AB298</f>
        <v>10.878494904657998</v>
      </c>
      <c r="R233" s="9">
        <f>'Model inputs'!R314*'Model inputs'!AB298</f>
        <v>11.748774497030638</v>
      </c>
      <c r="S233" s="9">
        <f>'Model inputs'!S314*'Model inputs'!AB298</f>
        <v>12.68867645679309</v>
      </c>
      <c r="T233" s="9">
        <f>'Model inputs'!T314*'Model inputs'!AB298</f>
        <v>13.703770573336536</v>
      </c>
      <c r="U233" s="9">
        <f>'Model inputs'!U314*'Model inputs'!AB298</f>
        <v>14.80007221920346</v>
      </c>
      <c r="V233" s="9">
        <f>'Model inputs'!V314*'Model inputs'!AB298</f>
        <v>15.984077996739737</v>
      </c>
      <c r="W233" s="9">
        <f>'Model inputs'!W314*'Model inputs'!AB298</f>
        <v>17.262804236478917</v>
      </c>
      <c r="X233" s="9">
        <f>'Model inputs'!X314*'Model inputs'!AB298</f>
        <v>18.643828575397233</v>
      </c>
      <c r="Y233" s="9">
        <f>'Model inputs'!Y314*'Model inputs'!AB298</f>
        <v>20.135334861429016</v>
      </c>
      <c r="Z233" s="9">
        <f>'Model inputs'!Z314*'Model inputs'!AB298</f>
        <v>21.74616165034334</v>
      </c>
      <c r="AA233" s="9">
        <f>'Model inputs'!AA314*'Model inputs'!AB298</f>
        <v>23.485854582370806</v>
      </c>
      <c r="AD233" s="9">
        <f>'Model inputs'!AD314*'Model inputs'!AB298</f>
        <v>0</v>
      </c>
      <c r="AE233" s="9">
        <f>'Model inputs'!AE314*'Model inputs'!AB298</f>
        <v>0</v>
      </c>
      <c r="AF233" s="9">
        <f>'Model inputs'!AF314*'Model inputs'!AB298</f>
        <v>0</v>
      </c>
      <c r="AG233" s="9">
        <f>'Model inputs'!AG314*'Model inputs'!AB298</f>
        <v>0</v>
      </c>
      <c r="AH233" s="9">
        <f>'Model inputs'!AH314*'Model inputs'!AB298</f>
        <v>0</v>
      </c>
      <c r="AI233" s="9">
        <f>'Model inputs'!AI314*'Model inputs'!AB298</f>
        <v>0</v>
      </c>
      <c r="AJ233" s="9">
        <f>'Model inputs'!AJ314*'Model inputs'!AB298</f>
        <v>0</v>
      </c>
      <c r="AK233" s="9">
        <f>'Model inputs'!AK314*'Model inputs'!AB298</f>
        <v>0</v>
      </c>
    </row>
    <row r="234" outlineLevel="1">
      <c r="A234" t="inlineStr" s="24">
        <is>
          <t xml:space="preserve">New paid subscriptions &gt; Team</t>
        </is>
      </c>
      <c r="B234" s="9">
        <f>'Model inputs'!B315*'Model inputs'!AB299</f>
        <v>0</v>
      </c>
      <c r="C234" s="9">
        <f>'Model inputs'!C315*'Model inputs'!AB299</f>
        <v>0</v>
      </c>
      <c r="D234" s="9">
        <f>'Model inputs'!D315*'Model inputs'!AB299</f>
        <v>3</v>
      </c>
      <c r="E234" s="9">
        <f>'Model inputs'!E315*'Model inputs'!AB299</f>
        <v>3.24</v>
      </c>
      <c r="F234" s="9">
        <f>'Model inputs'!F315*'Model inputs'!AB299</f>
        <v>3.4992000000000005</v>
      </c>
      <c r="G234" s="9">
        <f>'Model inputs'!G315*'Model inputs'!AB299</f>
        <v>3.7791360000000003</v>
      </c>
      <c r="H234" s="9">
        <f>'Model inputs'!H315*'Model inputs'!AB299</f>
        <v>4.081466880000001</v>
      </c>
      <c r="I234" s="9">
        <f>'Model inputs'!I315*'Model inputs'!AB299</f>
        <v>4.407984230400001</v>
      </c>
      <c r="J234" s="9">
        <f>'Model inputs'!J315*'Model inputs'!AB299</f>
        <v>4.760622968832001</v>
      </c>
      <c r="K234" s="9">
        <f>'Model inputs'!K315*'Model inputs'!AB299</f>
        <v>5.141472806338562</v>
      </c>
      <c r="L234" s="9">
        <f>'Model inputs'!L315*'Model inputs'!AB299</f>
        <v>5.552790630845648</v>
      </c>
      <c r="M234" s="9">
        <f>'Model inputs'!M315*'Model inputs'!AB299</f>
        <v>5.9970138813133</v>
      </c>
      <c r="N234" s="9">
        <f>'Model inputs'!N315*'Model inputs'!AB299</f>
        <v>6.476774991818364</v>
      </c>
      <c r="O234" s="9">
        <f>'Model inputs'!O315*'Model inputs'!AB299</f>
        <v>6.994916991163834</v>
      </c>
      <c r="P234" s="9">
        <f>'Model inputs'!P315*'Model inputs'!AB299</f>
        <v>7.55451035045694</v>
      </c>
      <c r="Q234" s="9">
        <f>'Model inputs'!Q315*'Model inputs'!AB299</f>
        <v>8.158871178493497</v>
      </c>
      <c r="R234" s="9">
        <f>'Model inputs'!R315*'Model inputs'!AB299</f>
        <v>8.811580872772977</v>
      </c>
      <c r="S234" s="9">
        <f>'Model inputs'!S315*'Model inputs'!AB299</f>
        <v>9.516507342594815</v>
      </c>
      <c r="T234" s="9">
        <f>'Model inputs'!T315*'Model inputs'!AB299</f>
        <v>10.2778279300024</v>
      </c>
      <c r="U234" s="9">
        <f>'Model inputs'!U315*'Model inputs'!AB299</f>
        <v>11.100054164402595</v>
      </c>
      <c r="V234" s="9">
        <f>'Model inputs'!V315*'Model inputs'!AB299</f>
        <v>11.988058497554801</v>
      </c>
      <c r="W234" s="9">
        <f>'Model inputs'!W315*'Model inputs'!AB299</f>
        <v>12.947103177359187</v>
      </c>
      <c r="X234" s="9">
        <f>'Model inputs'!X315*'Model inputs'!AB299</f>
        <v>13.982871431547926</v>
      </c>
      <c r="Y234" s="9">
        <f>'Model inputs'!Y315*'Model inputs'!AB299</f>
        <v>15.101501146071758</v>
      </c>
      <c r="Z234" s="9">
        <f>'Model inputs'!Z315*'Model inputs'!AB299</f>
        <v>16.3096212377575</v>
      </c>
      <c r="AA234" s="9">
        <f>'Model inputs'!AA315*'Model inputs'!AB299</f>
        <v>17.6143909367781</v>
      </c>
      <c r="AD234" s="9">
        <f>'Model inputs'!AD315*'Model inputs'!AB299</f>
        <v>0</v>
      </c>
      <c r="AE234" s="9">
        <f>'Model inputs'!AE315*'Model inputs'!AB299</f>
        <v>0</v>
      </c>
      <c r="AF234" s="9">
        <f>'Model inputs'!AF315*'Model inputs'!AB299</f>
        <v>0</v>
      </c>
      <c r="AG234" s="9">
        <f>'Model inputs'!AG315*'Model inputs'!AB299</f>
        <v>0</v>
      </c>
      <c r="AH234" s="9">
        <f>'Model inputs'!AH315*'Model inputs'!AB299</f>
        <v>0</v>
      </c>
      <c r="AI234" s="9">
        <f>'Model inputs'!AI315*'Model inputs'!AB299</f>
        <v>0</v>
      </c>
      <c r="AJ234" s="9">
        <f>'Model inputs'!AJ315*'Model inputs'!AB299</f>
        <v>0</v>
      </c>
      <c r="AK234" s="9">
        <f>'Model inputs'!AK315*'Model inputs'!AB299</f>
        <v>0</v>
      </c>
    </row>
    <row r="235">
      <c r="A235" t="inlineStr" s="23">
        <is>
          <t xml:space="preserve">Other overhead per month · Fixed monthly cost · Main Scenario · Main Scenario</t>
        </is>
      </c>
      <c r="AB235" s="14">
        <f>'CheckoutGuard — Assumptions · C'!B23</f>
        <v>60</v>
      </c>
    </row>
    <row r="236">
      <c r="A236" t="inlineStr" s="23">
        <is>
          <t xml:space="preserve">Other overhead per month · Fixed monthly cost · CheckoutGuard — Conservative · CheckoutGuard — Conservative</t>
        </is>
      </c>
      <c r="AB236" s="14">
        <f>'CheckoutGuard — Assumptions · C'!B23</f>
        <v>60</v>
      </c>
    </row>
    <row r="237">
      <c r="A237" t="inlineStr" s="23">
        <is>
          <t xml:space="preserve">Other overhead per month · Fixed monthly cost · CheckoutGuard — Growth · CheckoutGuard — Growth</t>
        </is>
      </c>
      <c r="AB237" s="14">
        <f>'CheckoutGuard — Assumptions · C'!B23</f>
        <v>60</v>
      </c>
    </row>
    <row r="238">
      <c r="A238" t="inlineStr" s="23">
        <is>
          <t xml:space="preserve">Payment processing costs</t>
        </is>
      </c>
      <c r="B238" s="11">
        <f>SUM('Model inputs'!B239,'Model inputs'!B240,'Model inputs'!B241)</f>
        <v>0</v>
      </c>
      <c r="C238" s="11">
        <f>IF('Model inputs'!C160="","",'Model inputs'!C160)</f>
        <v>0</v>
      </c>
      <c r="D238" s="11">
        <f>IF('Model inputs'!D160="","",'Model inputs'!D160)</f>
        <v>13.514999999999999</v>
      </c>
      <c r="E238" s="11">
        <f>IF('Model inputs'!E160="","",'Model inputs'!E160)</f>
        <v>27.3003</v>
      </c>
      <c r="F238" s="11">
        <f>IF('Model inputs'!F160="","",'Model inputs'!F160)</f>
        <v>41.3815785</v>
      </c>
      <c r="G238" s="11">
        <f>IF('Model inputs'!G160="","",'Model inputs'!G160)</f>
        <v>55.78543302</v>
      </c>
      <c r="H238" s="11">
        <f>IF('Model inputs'!H160="","",'Model inputs'!H160)</f>
        <v>70.53943699815001</v>
      </c>
      <c r="I238" s="11">
        <f>IF('Model inputs'!I160="","",'Model inputs'!I160)</f>
        <v>85.67219920539301</v>
      </c>
      <c r="J238" s="11">
        <f>IF('Model inputs'!J160="","",'Model inputs'!J160)</f>
        <v>101.2134258122781</v>
      </c>
      <c r="K238" s="11">
        <f>IF('Model inputs'!K160="","",'Model inputs'!K160)</f>
        <v>117.193985250109</v>
      </c>
      <c r="L238" s="11">
        <f>IF('Model inputs'!L160="","",'Model inputs'!L160)</f>
        <v>133.64597601541493</v>
      </c>
      <c r="M238" s="11">
        <f>IF('Model inputs'!M160="","",'Model inputs'!M160)</f>
        <v>150.60279757390214</v>
      </c>
      <c r="N238" s="11">
        <f>IF('Model inputs'!N160="","",'Model inputs'!N160)</f>
        <v>168.0992245275822</v>
      </c>
      <c r="O238" s="11">
        <f>IF('Model inputs'!O160="","",'Model inputs'!O160)</f>
        <v>186.17148421669674</v>
      </c>
      <c r="P238" s="11">
        <f>IF('Model inputs'!P160="","",'Model inputs'!P160)</f>
        <v>204.8573379363849</v>
      </c>
      <c r="Q238" s="11">
        <f>IF('Model inputs'!Q160="","",'Model inputs'!Q160)</f>
        <v>224.1961659567919</v>
      </c>
      <c r="R238" s="11">
        <f>IF('Model inputs'!R160="","",'Model inputs'!R160)</f>
        <v>244.22905654451165</v>
      </c>
      <c r="S238" s="11">
        <f>IF('Model inputs'!S160="","",'Model inputs'!S160)</f>
        <v>264.99889919292093</v>
      </c>
      <c r="T238" s="11">
        <f>IF('Model inputs'!T160="","",'Model inputs'!T160)</f>
        <v>286.5504822791152</v>
      </c>
      <c r="U238" s="11">
        <f>IF('Model inputs'!U160="","",'Model inputs'!U160)</f>
        <v>308.93059537582275</v>
      </c>
      <c r="V238" s="11">
        <f>IF('Model inputs'!V160="","",'Model inputs'!V160)</f>
        <v>332.1881364578831</v>
      </c>
      <c r="W238" s="11">
        <f>IF('Model inputs'!W160="","",'Model inputs'!W160)</f>
        <v>356.37422425464837</v>
      </c>
      <c r="X238" s="11">
        <f>IF('Model inputs'!X160="","",'Model inputs'!X160)</f>
        <v>381.5423160120358</v>
      </c>
      <c r="Y238" s="11">
        <f>IF('Model inputs'!Y160="","",'Model inputs'!Y160)</f>
        <v>407.74833094095294</v>
      </c>
      <c r="Z238" s="11">
        <f>IF('Model inputs'!Z160="","",'Model inputs'!Z160)</f>
        <v>435.0507796424665</v>
      </c>
      <c r="AA238" s="11">
        <f>IF('Model inputs'!AA160="","",'Model inputs'!AA160)</f>
        <v>463.5108998144217</v>
      </c>
      <c r="AD238" s="11">
        <f>SUM('Model inputs'!AD239,'Model inputs'!AD240,'Model inputs'!AD241)</f>
        <v>0</v>
      </c>
      <c r="AE238" s="11">
        <f>SUM('Model inputs'!AE239,'Model inputs'!AE240,'Model inputs'!AE241)</f>
        <v>0</v>
      </c>
      <c r="AF238" s="11">
        <f>SUM('Model inputs'!AF239,'Model inputs'!AF240,'Model inputs'!AF241)</f>
        <v>0</v>
      </c>
      <c r="AG238" s="11">
        <f>SUM('Model inputs'!AG239,'Model inputs'!AG240,'Model inputs'!AG241)</f>
        <v>0</v>
      </c>
      <c r="AH238" s="11">
        <f>SUM('Model inputs'!AH239,'Model inputs'!AH240,'Model inputs'!AH241)</f>
        <v>0</v>
      </c>
      <c r="AI238" s="11">
        <f>SUM('Model inputs'!AI239,'Model inputs'!AI240,'Model inputs'!AI241)</f>
        <v>0</v>
      </c>
      <c r="AJ238" s="11">
        <f>SUM('Model inputs'!AJ239,'Model inputs'!AJ240,'Model inputs'!AJ241)</f>
        <v>0</v>
      </c>
      <c r="AK238" s="11">
        <f>SUM('Model inputs'!AK239,'Model inputs'!AK240,'Model inputs'!AK241)</f>
        <v>0</v>
      </c>
    </row>
    <row r="239" outlineLevel="1">
      <c r="A239" t="inlineStr" s="24">
        <is>
          <t xml:space="preserve">Payment processing costs &gt; Agency</t>
        </is>
      </c>
      <c r="B239" s="14">
        <f>'Model inputs'!B85*'Model inputs'!AC119+'Model inputs'!B7*'Model inputs'!AC121</f>
        <v>0</v>
      </c>
      <c r="C239" s="14">
        <f>IF('Model inputs'!C161="","",'Model inputs'!C161)</f>
        <v>0</v>
      </c>
      <c r="D239" s="14">
        <f>IF('Model inputs'!D161="","",'Model inputs'!D161)</f>
        <v>4.635</v>
      </c>
      <c r="E239" s="14">
        <f>IF('Model inputs'!E161="","",'Model inputs'!E161)</f>
        <v>9.3627</v>
      </c>
      <c r="F239" s="14">
        <f>IF('Model inputs'!F161="","",'Model inputs'!F161)</f>
        <v>14.1919065</v>
      </c>
      <c r="G239" s="14">
        <f>IF('Model inputs'!G161="","",'Model inputs'!G161)</f>
        <v>19.13174118</v>
      </c>
      <c r="H239" s="14">
        <f>IF('Model inputs'!H161="","",'Model inputs'!H161)</f>
        <v>24.191660413350004</v>
      </c>
      <c r="I239" s="14">
        <f>IF('Model inputs'!I161="","",'Model inputs'!I161)</f>
        <v>29.381475643137</v>
      </c>
      <c r="J239" s="14">
        <f>IF('Model inputs'!J161="","",'Model inputs'!J161)</f>
        <v>34.71137466813977</v>
      </c>
      <c r="K239" s="14">
        <f>IF('Model inputs'!K161="","",'Model inputs'!K161)</f>
        <v>40.19194388710731</v>
      </c>
      <c r="L239" s="14">
        <f>IF('Model inputs'!L161="","",'Model inputs'!L161)</f>
        <v>45.834191552456396</v>
      </c>
      <c r="M239" s="14">
        <f>IF('Model inputs'!M161="","",'Model inputs'!M161)</f>
        <v>51.64957208694313</v>
      </c>
      <c r="N239" s="14">
        <f>IF('Model inputs'!N161="","",'Model inputs'!N161)</f>
        <v>57.65001151944828</v>
      </c>
      <c r="O239" s="14">
        <f>IF('Model inputs'!O161="","",'Model inputs'!O161)</f>
        <v>63.84793409873396</v>
      </c>
      <c r="P239" s="14">
        <f>IF('Model inputs'!P161="","",'Model inputs'!P161)</f>
        <v>70.25629014688451</v>
      </c>
      <c r="Q239" s="14">
        <f>IF('Model inputs'!Q161="","",'Model inputs'!Q161)</f>
        <v>76.88858521714617</v>
      </c>
      <c r="R239" s="14">
        <f>IF('Model inputs'!R161="","",'Model inputs'!R161)</f>
        <v>83.7589106240334</v>
      </c>
      <c r="S239" s="14">
        <f>IF('Model inputs'!S161="","",'Model inputs'!S161)</f>
        <v>90.8819754168841</v>
      </c>
      <c r="T239" s="14">
        <f>IF('Model inputs'!T161="","",'Model inputs'!T161)</f>
        <v>98.27313987152786</v>
      </c>
      <c r="U239" s="14">
        <f>IF('Model inputs'!U161="","",'Model inputs'!U161)</f>
        <v>105.94845057838984</v>
      </c>
      <c r="V239" s="14">
        <f>IF('Model inputs'!V161="","",'Model inputs'!V161)</f>
        <v>113.92467720919632</v>
      </c>
      <c r="W239" s="14">
        <f>IF('Model inputs'!W161="","",'Model inputs'!W161)</f>
        <v>122.21935104848652</v>
      </c>
      <c r="X239" s="14">
        <f>IF('Model inputs'!X161="","",'Model inputs'!X161)</f>
        <v>130.85080538037633</v>
      </c>
      <c r="Y239" s="14">
        <f>IF('Model inputs'!Y161="","",'Model inputs'!Y161)</f>
        <v>139.83821782547665</v>
      </c>
      <c r="Z239" s="14">
        <f>IF('Model inputs'!Z161="","",'Model inputs'!Z161)</f>
        <v>149.20165472754954</v>
      </c>
      <c r="AA239" s="14">
        <f>IF('Model inputs'!AA161="","",'Model inputs'!AA161)</f>
        <v>158.96211769440214</v>
      </c>
      <c r="AD239" s="14">
        <f>'Model inputs'!AD317*'Model inputs'!AC119+'Model inputs'!AD173*'Model inputs'!AC121</f>
        <v>0</v>
      </c>
      <c r="AE239" s="14">
        <f>'Model inputs'!AE317*'Model inputs'!AC119+'Model inputs'!AE173*'Model inputs'!AC121</f>
        <v>0</v>
      </c>
      <c r="AF239" s="14">
        <f>'Model inputs'!AF317*'Model inputs'!AC119+'Model inputs'!AF173*'Model inputs'!AC121</f>
        <v>0</v>
      </c>
      <c r="AG239" s="14">
        <f>'Model inputs'!AG317*'Model inputs'!AC119+'Model inputs'!AG173*'Model inputs'!AC121</f>
        <v>0</v>
      </c>
      <c r="AH239" s="14">
        <f>'Model inputs'!AH317*'Model inputs'!AC119+'Model inputs'!AH173*'Model inputs'!AC121</f>
        <v>0</v>
      </c>
      <c r="AI239" s="14">
        <f>'Model inputs'!AI317*'Model inputs'!AC119+'Model inputs'!AI173*'Model inputs'!AC121</f>
        <v>0</v>
      </c>
      <c r="AJ239" s="14">
        <f>'Model inputs'!AJ317*'Model inputs'!AC119+'Model inputs'!AJ173*'Model inputs'!AC121</f>
        <v>0</v>
      </c>
      <c r="AK239" s="14">
        <f>'Model inputs'!AK317*'Model inputs'!AC119+'Model inputs'!AK173*'Model inputs'!AC121</f>
        <v>0</v>
      </c>
    </row>
    <row r="240" outlineLevel="1">
      <c r="A240" t="inlineStr" s="24">
        <is>
          <t xml:space="preserve">Payment processing costs &gt; Developer</t>
        </is>
      </c>
      <c r="B240" s="14">
        <f>'Model inputs'!B86*'Model inputs'!AC119+'Model inputs'!B8*'Model inputs'!AC121</f>
        <v>0</v>
      </c>
      <c r="C240" s="14">
        <f>IF('Model inputs'!C162="","",'Model inputs'!C162)</f>
        <v>0</v>
      </c>
      <c r="D240" s="14">
        <f>IF('Model inputs'!D162="","",'Model inputs'!D162)</f>
        <v>2.34</v>
      </c>
      <c r="E240" s="14">
        <f>IF('Model inputs'!E162="","",'Model inputs'!E162)</f>
        <v>4.7268</v>
      </c>
      <c r="F240" s="14">
        <f>IF('Model inputs'!F162="","",'Model inputs'!F162)</f>
        <v>7.164846</v>
      </c>
      <c r="G240" s="14">
        <f>IF('Model inputs'!G162="","",'Model inputs'!G162)</f>
        <v>9.65874312</v>
      </c>
      <c r="H240" s="14">
        <f>IF('Model inputs'!H162="","",'Model inputs'!H162)</f>
        <v>12.213265451400002</v>
      </c>
      <c r="I240" s="14">
        <f>IF('Model inputs'!I162="","",'Model inputs'!I162)</f>
        <v>14.833366344108</v>
      </c>
      <c r="J240" s="14">
        <f>IF('Model inputs'!J162="","",'Model inputs'!J162)</f>
        <v>17.524189152847264</v>
      </c>
      <c r="K240" s="14">
        <f>IF('Model inputs'!K162="","",'Model inputs'!K162)</f>
        <v>20.291078467277472</v>
      </c>
      <c r="L240" s="14">
        <f>IF('Model inputs'!L162="","",'Model inputs'!L162)</f>
        <v>23.13959185172556</v>
      </c>
      <c r="M240" s="14">
        <f>IF('Model inputs'!M162="","",'Model inputs'!M162)</f>
        <v>26.07551212156352</v>
      </c>
      <c r="N240" s="14">
        <f>IF('Model inputs'!N162="","",'Model inputs'!N162)</f>
        <v>29.10486018457583</v>
      </c>
      <c r="O240" s="14">
        <f>IF('Model inputs'!O162="","",'Model inputs'!O162)</f>
        <v>32.23390847703073</v>
      </c>
      <c r="P240" s="14">
        <f>IF('Model inputs'!P162="","",'Model inputs'!P162)</f>
        <v>35.4691950256116</v>
      </c>
      <c r="Q240" s="14">
        <f>IF('Model inputs'!Q162="","",'Model inputs'!Q162)</f>
        <v>38.81753816787962</v>
      </c>
      <c r="R240" s="14">
        <f>IF('Model inputs'!R162="","",'Model inputs'!R162)</f>
        <v>42.28605196553143</v>
      </c>
      <c r="S240" s="14">
        <f>IF('Model inputs'!S162="","",'Model inputs'!S162)</f>
        <v>45.882162346388085</v>
      </c>
      <c r="T240" s="14">
        <f>IF('Model inputs'!T162="","",'Model inputs'!T162)</f>
        <v>49.61362401281019</v>
      </c>
      <c r="U240" s="14">
        <f>IF('Model inputs'!U162="","",'Model inputs'!U162)</f>
        <v>53.488538156080295</v>
      </c>
      <c r="V240" s="14">
        <f>IF('Model inputs'!V162="","",'Model inputs'!V162)</f>
        <v>57.51537101823503</v>
      </c>
      <c r="W240" s="14">
        <f>IF('Model inputs'!W162="","",'Model inputs'!W162)</f>
        <v>61.702973344866976</v>
      </c>
      <c r="X240" s="14">
        <f>IF('Model inputs'!X162="","",'Model inputs'!X162)</f>
        <v>66.06060077455892</v>
      </c>
      <c r="Y240" s="14">
        <f>IF('Model inputs'!Y162="","",'Model inputs'!Y162)</f>
        <v>70.597935212862</v>
      </c>
      <c r="Z240" s="14">
        <f>IF('Model inputs'!Z162="","",'Model inputs'!Z162)</f>
        <v>75.32510724109298</v>
      </c>
      <c r="AA240" s="14">
        <f>IF('Model inputs'!AA162="","",'Model inputs'!AA162)</f>
        <v>80.25271961270786</v>
      </c>
      <c r="AD240" s="14">
        <f>'Model inputs'!AD318*'Model inputs'!AC119+'Model inputs'!AD174*'Model inputs'!AC121</f>
        <v>0</v>
      </c>
      <c r="AE240" s="14">
        <f>'Model inputs'!AE318*'Model inputs'!AC119+'Model inputs'!AE174*'Model inputs'!AC121</f>
        <v>0</v>
      </c>
      <c r="AF240" s="14">
        <f>'Model inputs'!AF318*'Model inputs'!AC119+'Model inputs'!AF174*'Model inputs'!AC121</f>
        <v>0</v>
      </c>
      <c r="AG240" s="14">
        <f>'Model inputs'!AG318*'Model inputs'!AC119+'Model inputs'!AG174*'Model inputs'!AC121</f>
        <v>0</v>
      </c>
      <c r="AH240" s="14">
        <f>'Model inputs'!AH318*'Model inputs'!AC119+'Model inputs'!AH174*'Model inputs'!AC121</f>
        <v>0</v>
      </c>
      <c r="AI240" s="14">
        <f>'Model inputs'!AI318*'Model inputs'!AC119+'Model inputs'!AI174*'Model inputs'!AC121</f>
        <v>0</v>
      </c>
      <c r="AJ240" s="14">
        <f>'Model inputs'!AJ318*'Model inputs'!AC119+'Model inputs'!AJ174*'Model inputs'!AC121</f>
        <v>0</v>
      </c>
      <c r="AK240" s="14">
        <f>'Model inputs'!AK318*'Model inputs'!AC119+'Model inputs'!AK174*'Model inputs'!AC121</f>
        <v>0</v>
      </c>
    </row>
    <row r="241" outlineLevel="1">
      <c r="A241" t="inlineStr" s="24">
        <is>
          <t xml:space="preserve">Payment processing costs &gt; Team</t>
        </is>
      </c>
      <c r="B241" s="14">
        <f>'Model inputs'!B87*'Model inputs'!AC119+'Model inputs'!B9*'Model inputs'!AC121</f>
        <v>0</v>
      </c>
      <c r="C241" s="14">
        <f>IF('Model inputs'!C163="","",'Model inputs'!C163)</f>
        <v>0</v>
      </c>
      <c r="D241" s="14">
        <f>IF('Model inputs'!D163="","",'Model inputs'!D163)</f>
        <v>6.539999999999999</v>
      </c>
      <c r="E241" s="14">
        <f>IF('Model inputs'!E163="","",'Model inputs'!E163)</f>
        <v>13.210799999999999</v>
      </c>
      <c r="F241" s="14">
        <f>IF('Model inputs'!F163="","",'Model inputs'!F163)</f>
        <v>20.024826</v>
      </c>
      <c r="G241" s="14">
        <f>IF('Model inputs'!G163="","",'Model inputs'!G163)</f>
        <v>26.99494872</v>
      </c>
      <c r="H241" s="14">
        <f>IF('Model inputs'!H163="","",'Model inputs'!H163)</f>
        <v>34.134511133400004</v>
      </c>
      <c r="I241" s="14">
        <f>IF('Model inputs'!I163="","",'Model inputs'!I163)</f>
        <v>41.457357218148005</v>
      </c>
      <c r="J241" s="14">
        <f>IF('Model inputs'!J163="","",'Model inputs'!J163)</f>
        <v>48.977861991291064</v>
      </c>
      <c r="K241" s="14">
        <f>IF('Model inputs'!K163="","",'Model inputs'!K163)</f>
        <v>56.71096289572422</v>
      </c>
      <c r="L241" s="14">
        <f>IF('Model inputs'!L163="","",'Model inputs'!L163)</f>
        <v>64.67219261123297</v>
      </c>
      <c r="M241" s="14">
        <f>IF('Model inputs'!M163="","",'Model inputs'!M163)</f>
        <v>72.87771336539548</v>
      </c>
      <c r="N241" s="14">
        <f>IF('Model inputs'!N163="","",'Model inputs'!N163)</f>
        <v>81.3443528235581</v>
      </c>
      <c r="O241" s="14">
        <f>IF('Model inputs'!O163="","",'Model inputs'!O163)</f>
        <v>90.08964164093204</v>
      </c>
      <c r="P241" s="14">
        <f>IF('Model inputs'!P163="","",'Model inputs'!P163)</f>
        <v>99.13185276388882</v>
      </c>
      <c r="Q241" s="14">
        <f>IF('Model inputs'!Q163="","",'Model inputs'!Q163)</f>
        <v>108.49004257176611</v>
      </c>
      <c r="R241" s="14">
        <f>IF('Model inputs'!R163="","",'Model inputs'!R163)</f>
        <v>118.18409395494682</v>
      </c>
      <c r="S241" s="14">
        <f>IF('Model inputs'!S163="","",'Model inputs'!S163)</f>
        <v>128.23476142964876</v>
      </c>
      <c r="T241" s="14">
        <f>IF('Model inputs'!T163="","",'Model inputs'!T163)</f>
        <v>138.66371839477716</v>
      </c>
      <c r="U241" s="14">
        <f>IF('Model inputs'!U163="","",'Model inputs'!U163)</f>
        <v>149.4936066413526</v>
      </c>
      <c r="V241" s="14">
        <f>IF('Model inputs'!V163="","",'Model inputs'!V163)</f>
        <v>160.74808823045174</v>
      </c>
      <c r="W241" s="14">
        <f>IF('Model inputs'!W163="","",'Model inputs'!W163)</f>
        <v>172.4518998612949</v>
      </c>
      <c r="X241" s="14">
        <f>IF('Model inputs'!X163="","",'Model inputs'!X163)</f>
        <v>184.6309098571006</v>
      </c>
      <c r="Y241" s="14">
        <f>IF('Model inputs'!Y163="","",'Model inputs'!Y163)</f>
        <v>197.3121779026143</v>
      </c>
      <c r="Z241" s="14">
        <f>IF('Model inputs'!Z163="","",'Model inputs'!Z163)</f>
        <v>210.52401767382398</v>
      </c>
      <c r="AA241" s="14">
        <f>IF('Model inputs'!AA163="","",'Model inputs'!AA163)</f>
        <v>224.29606250731172</v>
      </c>
      <c r="AD241" s="14">
        <f>'Model inputs'!AD319*'Model inputs'!AC119+'Model inputs'!AD175*'Model inputs'!AC121</f>
        <v>0</v>
      </c>
      <c r="AE241" s="14">
        <f>'Model inputs'!AE319*'Model inputs'!AC119+'Model inputs'!AE175*'Model inputs'!AC121</f>
        <v>0</v>
      </c>
      <c r="AF241" s="14">
        <f>'Model inputs'!AF319*'Model inputs'!AC119+'Model inputs'!AF175*'Model inputs'!AC121</f>
        <v>0</v>
      </c>
      <c r="AG241" s="14">
        <f>'Model inputs'!AG319*'Model inputs'!AC119+'Model inputs'!AG175*'Model inputs'!AC121</f>
        <v>0</v>
      </c>
      <c r="AH241" s="14">
        <f>'Model inputs'!AH319*'Model inputs'!AC119+'Model inputs'!AH175*'Model inputs'!AC121</f>
        <v>0</v>
      </c>
      <c r="AI241" s="14">
        <f>'Model inputs'!AI319*'Model inputs'!AC119+'Model inputs'!AI175*'Model inputs'!AC121</f>
        <v>0</v>
      </c>
      <c r="AJ241" s="14">
        <f>'Model inputs'!AJ319*'Model inputs'!AC119+'Model inputs'!AJ175*'Model inputs'!AC121</f>
        <v>0</v>
      </c>
      <c r="AK241" s="14">
        <f>'Model inputs'!AK319*'Model inputs'!AC119+'Model inputs'!AK175*'Model inputs'!AC121</f>
        <v>0</v>
      </c>
    </row>
    <row r="242">
      <c r="A242" t="inlineStr" s="23">
        <is>
          <t xml:space="preserve">Payment processing costs</t>
        </is>
      </c>
      <c r="B242" s="11">
        <f>SUM('Model inputs'!B243,'Model inputs'!B244,'Model inputs'!B245)</f>
        <v>0</v>
      </c>
      <c r="C242" s="11">
        <f>SUM('Model inputs'!C243,'Model inputs'!C244,'Model inputs'!C245)</f>
        <v>0</v>
      </c>
      <c r="D242" s="11">
        <f>SUM('Model inputs'!D243,'Model inputs'!D244,'Model inputs'!D245)</f>
        <v>6.757499999999999</v>
      </c>
      <c r="E242" s="11">
        <f>SUM('Model inputs'!E243,'Model inputs'!E244,'Model inputs'!E245)</f>
        <v>13.177124999999998</v>
      </c>
      <c r="F242" s="11">
        <f>SUM('Model inputs'!F243,'Model inputs'!F244,'Model inputs'!F245)</f>
        <v>19.275768749999997</v>
      </c>
      <c r="G242" s="11">
        <f>SUM('Model inputs'!G243,'Model inputs'!G244,'Model inputs'!G245)</f>
        <v>25.0694803125</v>
      </c>
      <c r="H242" s="11">
        <f>SUM('Model inputs'!H243,'Model inputs'!H244,'Model inputs'!H245)</f>
        <v>30.573506296875003</v>
      </c>
      <c r="I242" s="11">
        <f>SUM('Model inputs'!I243,'Model inputs'!I244,'Model inputs'!I245)</f>
        <v>35.80233098203125</v>
      </c>
      <c r="J242" s="11">
        <f>SUM('Model inputs'!J243,'Model inputs'!J244,'Model inputs'!J245)</f>
        <v>40.76971443292969</v>
      </c>
      <c r="K242" s="11">
        <f>SUM('Model inputs'!K243,'Model inputs'!K244,'Model inputs'!K245)</f>
        <v>45.4887287112832</v>
      </c>
      <c r="L242" s="11">
        <f>SUM('Model inputs'!L243,'Model inputs'!L244,'Model inputs'!L245)</f>
        <v>49.97179227571904</v>
      </c>
      <c r="M242" s="11">
        <f>SUM('Model inputs'!M243,'Model inputs'!M244,'Model inputs'!M245)</f>
        <v>54.230702661933094</v>
      </c>
      <c r="N242" s="11">
        <f>SUM('Model inputs'!N243,'Model inputs'!N244,'Model inputs'!N245)</f>
        <v>58.27666752883644</v>
      </c>
      <c r="O242" s="11">
        <f>SUM('Model inputs'!O243,'Model inputs'!O244,'Model inputs'!O245)</f>
        <v>62.12033415239461</v>
      </c>
      <c r="P242" s="11">
        <f>SUM('Model inputs'!P243,'Model inputs'!P244,'Model inputs'!P245)</f>
        <v>65.77181744477488</v>
      </c>
      <c r="Q242" s="11">
        <f>SUM('Model inputs'!Q243,'Model inputs'!Q244,'Model inputs'!Q245)</f>
        <v>69.24072657253615</v>
      </c>
      <c r="R242" s="11">
        <f>SUM('Model inputs'!R243,'Model inputs'!R244,'Model inputs'!R245)</f>
        <v>72.53619024390935</v>
      </c>
      <c r="S242" s="11">
        <f>SUM('Model inputs'!S243,'Model inputs'!S244,'Model inputs'!S245)</f>
        <v>75.66688073171386</v>
      </c>
      <c r="T242" s="11">
        <f>SUM('Model inputs'!T243,'Model inputs'!T244,'Model inputs'!T245)</f>
        <v>78.64103669512818</v>
      </c>
      <c r="U242" s="11">
        <f>SUM('Model inputs'!U243,'Model inputs'!U244,'Model inputs'!U245)</f>
        <v>81.46648486037176</v>
      </c>
      <c r="V242" s="11">
        <f>SUM('Model inputs'!V243,'Model inputs'!V244,'Model inputs'!V245)</f>
        <v>84.15066061735317</v>
      </c>
      <c r="W242" s="11">
        <f>SUM('Model inputs'!W243,'Model inputs'!W244,'Model inputs'!W245)</f>
        <v>86.70062758648552</v>
      </c>
      <c r="X242" s="11">
        <f>SUM('Model inputs'!X243,'Model inputs'!X244,'Model inputs'!X245)</f>
        <v>89.12309620716124</v>
      </c>
      <c r="Y242" s="11">
        <f>SUM('Model inputs'!Y243,'Model inputs'!Y244,'Model inputs'!Y245)</f>
        <v>91.42444139680319</v>
      </c>
      <c r="Z242" s="11">
        <f>SUM('Model inputs'!Z243,'Model inputs'!Z244,'Model inputs'!Z245)</f>
        <v>93.61071932696304</v>
      </c>
      <c r="AA242" s="11">
        <f>SUM('Model inputs'!AA243,'Model inputs'!AA244,'Model inputs'!AA245)</f>
        <v>95.68768336061487</v>
      </c>
      <c r="AD242" s="11">
        <f>SUM('Model inputs'!AD243,'Model inputs'!AD244,'Model inputs'!AD245)</f>
        <v>0</v>
      </c>
      <c r="AE242" s="11">
        <f>SUM('Model inputs'!AE243,'Model inputs'!AE244,'Model inputs'!AE245)</f>
        <v>0</v>
      </c>
      <c r="AF242" s="11">
        <f>SUM('Model inputs'!AF243,'Model inputs'!AF244,'Model inputs'!AF245)</f>
        <v>0</v>
      </c>
      <c r="AG242" s="11">
        <f>SUM('Model inputs'!AG243,'Model inputs'!AG244,'Model inputs'!AG245)</f>
        <v>0</v>
      </c>
      <c r="AH242" s="11">
        <f>SUM('Model inputs'!AH243,'Model inputs'!AH244,'Model inputs'!AH245)</f>
        <v>0</v>
      </c>
      <c r="AI242" s="11">
        <f>SUM('Model inputs'!AI243,'Model inputs'!AI244,'Model inputs'!AI245)</f>
        <v>0</v>
      </c>
      <c r="AJ242" s="11">
        <f>SUM('Model inputs'!AJ243,'Model inputs'!AJ244,'Model inputs'!AJ245)</f>
        <v>0</v>
      </c>
      <c r="AK242" s="11">
        <f>SUM('Model inputs'!AK243,'Model inputs'!AK244,'Model inputs'!AK245)</f>
        <v>0</v>
      </c>
    </row>
    <row r="243" outlineLevel="1">
      <c r="A243" t="inlineStr" s="24">
        <is>
          <t xml:space="preserve">Payment processing costs &gt; Agency</t>
        </is>
      </c>
      <c r="B243" s="14">
        <f>'Model inputs'!B89*'Model inputs'!AB300+'Model inputs'!B11*'Model inputs'!AB302</f>
        <v>0</v>
      </c>
      <c r="C243" s="14">
        <f>'Model inputs'!C89*'Model inputs'!AB300+'Model inputs'!C11*'Model inputs'!AB302</f>
        <v>0</v>
      </c>
      <c r="D243" s="14">
        <f>'Model inputs'!D89*'Model inputs'!AB300+'Model inputs'!D11*'Model inputs'!AB302</f>
        <v>2.3175</v>
      </c>
      <c r="E243" s="14">
        <f>'Model inputs'!E89*'Model inputs'!AB300+'Model inputs'!E11*'Model inputs'!AB302</f>
        <v>4.519125</v>
      </c>
      <c r="F243" s="14">
        <f>'Model inputs'!F89*'Model inputs'!AB300+'Model inputs'!F11*'Model inputs'!AB302</f>
        <v>6.61066875</v>
      </c>
      <c r="G243" s="14">
        <f>'Model inputs'!G89*'Model inputs'!AB300+'Model inputs'!G11*'Model inputs'!AB302</f>
        <v>8.597635312500001</v>
      </c>
      <c r="H243" s="14">
        <f>'Model inputs'!H89*'Model inputs'!AB300+'Model inputs'!H11*'Model inputs'!AB302</f>
        <v>10.485253546875</v>
      </c>
      <c r="I243" s="14">
        <f>'Model inputs'!I89*'Model inputs'!AB300+'Model inputs'!I11*'Model inputs'!AB302</f>
        <v>12.27849086953125</v>
      </c>
      <c r="J243" s="14">
        <f>'Model inputs'!J89*'Model inputs'!AB300+'Model inputs'!J11*'Model inputs'!AB302</f>
        <v>13.982066326054687</v>
      </c>
      <c r="K243" s="14">
        <f>'Model inputs'!K89*'Model inputs'!AB300+'Model inputs'!K11*'Model inputs'!AB302</f>
        <v>15.600463009751952</v>
      </c>
      <c r="L243" s="14">
        <f>'Model inputs'!L89*'Model inputs'!AB300+'Model inputs'!L11*'Model inputs'!AB302</f>
        <v>17.137939859264353</v>
      </c>
      <c r="M243" s="14">
        <f>'Model inputs'!M89*'Model inputs'!AB300+'Model inputs'!M11*'Model inputs'!AB302</f>
        <v>18.59854286630114</v>
      </c>
      <c r="N243" s="14">
        <f>'Model inputs'!N89*'Model inputs'!AB300+'Model inputs'!N11*'Model inputs'!AB302</f>
        <v>19.98611572298608</v>
      </c>
      <c r="O243" s="14">
        <f>'Model inputs'!O89*'Model inputs'!AB300+'Model inputs'!O11*'Model inputs'!AB302</f>
        <v>21.304309936836777</v>
      </c>
      <c r="P243" s="14">
        <f>'Model inputs'!P89*'Model inputs'!AB300+'Model inputs'!P11*'Model inputs'!AB302</f>
        <v>22.55659443999494</v>
      </c>
      <c r="Q243" s="14">
        <f>'Model inputs'!Q89*'Model inputs'!AB300+'Model inputs'!Q11*'Model inputs'!AB302</f>
        <v>23.746264717995192</v>
      </c>
      <c r="R243" s="14">
        <f>'Model inputs'!R89*'Model inputs'!AB300+'Model inputs'!R11*'Model inputs'!AB302</f>
        <v>24.876451482095433</v>
      </c>
      <c r="S243" s="14">
        <f>'Model inputs'!S89*'Model inputs'!AB300+'Model inputs'!S11*'Model inputs'!AB302</f>
        <v>25.95012890799066</v>
      </c>
      <c r="T243" s="14">
        <f>'Model inputs'!T89*'Model inputs'!AB300+'Model inputs'!T11*'Model inputs'!AB302</f>
        <v>26.97012246259113</v>
      </c>
      <c r="U243" s="14">
        <f>'Model inputs'!U89*'Model inputs'!AB300+'Model inputs'!U11*'Model inputs'!AB302</f>
        <v>27.939116339461574</v>
      </c>
      <c r="V243" s="14">
        <f>'Model inputs'!V89*'Model inputs'!AB300+'Model inputs'!V11*'Model inputs'!AB302</f>
        <v>28.85966052248849</v>
      </c>
      <c r="W243" s="14">
        <f>'Model inputs'!W89*'Model inputs'!AB300+'Model inputs'!W11*'Model inputs'!AB302</f>
        <v>29.734177496364065</v>
      </c>
      <c r="X243" s="14">
        <f>'Model inputs'!X89*'Model inputs'!AB300+'Model inputs'!X11*'Model inputs'!AB302</f>
        <v>30.564968621545866</v>
      </c>
      <c r="Y243" s="14">
        <f>'Model inputs'!Y89*'Model inputs'!AB300+'Model inputs'!Y11*'Model inputs'!AB302</f>
        <v>31.354220190468574</v>
      </c>
      <c r="Z243" s="14">
        <f>'Model inputs'!Z89*'Model inputs'!AB300+'Model inputs'!Z11*'Model inputs'!AB302</f>
        <v>32.10400918094515</v>
      </c>
      <c r="AA243" s="14">
        <f>'Model inputs'!AA89*'Model inputs'!AB300+'Model inputs'!AA11*'Model inputs'!AB302</f>
        <v>32.81630872189789</v>
      </c>
      <c r="AD243" s="14">
        <f>'Model inputs'!AD321*'Model inputs'!AB300+'Model inputs'!AD177*'Model inputs'!AB302</f>
        <v>0</v>
      </c>
      <c r="AE243" s="14">
        <f>'Model inputs'!AE321*'Model inputs'!AB300+'Model inputs'!AE177*'Model inputs'!AB302</f>
        <v>0</v>
      </c>
      <c r="AF243" s="14">
        <f>'Model inputs'!AF321*'Model inputs'!AB300+'Model inputs'!AF177*'Model inputs'!AB302</f>
        <v>0</v>
      </c>
      <c r="AG243" s="14">
        <f>'Model inputs'!AG321*'Model inputs'!AB300+'Model inputs'!AG177*'Model inputs'!AB302</f>
        <v>0</v>
      </c>
      <c r="AH243" s="14">
        <f>'Model inputs'!AH321*'Model inputs'!AB300+'Model inputs'!AH177*'Model inputs'!AB302</f>
        <v>0</v>
      </c>
      <c r="AI243" s="14">
        <f>'Model inputs'!AI321*'Model inputs'!AB300+'Model inputs'!AI177*'Model inputs'!AB302</f>
        <v>0</v>
      </c>
      <c r="AJ243" s="14">
        <f>'Model inputs'!AJ321*'Model inputs'!AB300+'Model inputs'!AJ177*'Model inputs'!AB302</f>
        <v>0</v>
      </c>
      <c r="AK243" s="14">
        <f>'Model inputs'!AK321*'Model inputs'!AB300+'Model inputs'!AK177*'Model inputs'!AB302</f>
        <v>0</v>
      </c>
    </row>
    <row r="244" outlineLevel="1">
      <c r="A244" t="inlineStr" s="24">
        <is>
          <t xml:space="preserve">Payment processing costs &gt; Developer</t>
        </is>
      </c>
      <c r="B244" s="14">
        <f>'Model inputs'!B90*'Model inputs'!AB300+'Model inputs'!B12*'Model inputs'!AB302</f>
        <v>0</v>
      </c>
      <c r="C244" s="14">
        <f>'Model inputs'!C90*'Model inputs'!AB300+'Model inputs'!C12*'Model inputs'!AB302</f>
        <v>0</v>
      </c>
      <c r="D244" s="14">
        <f>'Model inputs'!D90*'Model inputs'!AB300+'Model inputs'!D12*'Model inputs'!AB302</f>
        <v>1.17</v>
      </c>
      <c r="E244" s="14">
        <f>'Model inputs'!E90*'Model inputs'!AB300+'Model inputs'!E12*'Model inputs'!AB302</f>
        <v>2.2815</v>
      </c>
      <c r="F244" s="14">
        <f>'Model inputs'!F90*'Model inputs'!AB300+'Model inputs'!F12*'Model inputs'!AB302</f>
        <v>3.3374249999999996</v>
      </c>
      <c r="G244" s="14">
        <f>'Model inputs'!G90*'Model inputs'!AB300+'Model inputs'!G12*'Model inputs'!AB302</f>
        <v>4.34055375</v>
      </c>
      <c r="H244" s="14">
        <f>'Model inputs'!H90*'Model inputs'!AB300+'Model inputs'!H12*'Model inputs'!AB302</f>
        <v>5.2935260625</v>
      </c>
      <c r="I244" s="14">
        <f>'Model inputs'!I90*'Model inputs'!AB300+'Model inputs'!I12*'Model inputs'!AB302</f>
        <v>6.198849759375</v>
      </c>
      <c r="J244" s="14">
        <f>'Model inputs'!J90*'Model inputs'!AB300+'Model inputs'!J12*'Model inputs'!AB302</f>
        <v>7.05890727140625</v>
      </c>
      <c r="K244" s="14">
        <f>'Model inputs'!K90*'Model inputs'!AB300+'Model inputs'!K12*'Model inputs'!AB302</f>
        <v>7.875961907835938</v>
      </c>
      <c r="L244" s="14">
        <f>'Model inputs'!L90*'Model inputs'!AB300+'Model inputs'!L12*'Model inputs'!AB302</f>
        <v>8.65216381244414</v>
      </c>
      <c r="M244" s="14">
        <f>'Model inputs'!M90*'Model inputs'!AB300+'Model inputs'!M12*'Model inputs'!AB302</f>
        <v>9.389555621821934</v>
      </c>
      <c r="N244" s="14">
        <f>'Model inputs'!N90*'Model inputs'!AB300+'Model inputs'!N12*'Model inputs'!AB302</f>
        <v>10.090077840730837</v>
      </c>
      <c r="O244" s="14">
        <f>'Model inputs'!O90*'Model inputs'!AB300+'Model inputs'!O12*'Model inputs'!AB302</f>
        <v>10.755573948694295</v>
      </c>
      <c r="P244" s="14">
        <f>'Model inputs'!P90*'Model inputs'!AB300+'Model inputs'!P12*'Model inputs'!AB302</f>
        <v>11.38779525125958</v>
      </c>
      <c r="Q244" s="14">
        <f>'Model inputs'!Q90*'Model inputs'!AB300+'Model inputs'!Q12*'Model inputs'!AB302</f>
        <v>11.988405488696602</v>
      </c>
      <c r="R244" s="14">
        <f>'Model inputs'!R90*'Model inputs'!AB300+'Model inputs'!R12*'Model inputs'!AB302</f>
        <v>12.558985214261773</v>
      </c>
      <c r="S244" s="14">
        <f>'Model inputs'!S90*'Model inputs'!AB300+'Model inputs'!S12*'Model inputs'!AB302</f>
        <v>13.101035953548683</v>
      </c>
      <c r="T244" s="14">
        <f>'Model inputs'!T90*'Model inputs'!AB300+'Model inputs'!T12*'Model inputs'!AB302</f>
        <v>13.61598415587125</v>
      </c>
      <c r="U244" s="14">
        <f>'Model inputs'!U90*'Model inputs'!AB300+'Model inputs'!U12*'Model inputs'!AB302</f>
        <v>14.105184948077687</v>
      </c>
      <c r="V244" s="14">
        <f>'Model inputs'!V90*'Model inputs'!AB300+'Model inputs'!V12*'Model inputs'!AB302</f>
        <v>14.569925700673801</v>
      </c>
      <c r="W244" s="14">
        <f>'Model inputs'!W90*'Model inputs'!AB300+'Model inputs'!W12*'Model inputs'!AB302</f>
        <v>15.011429415640112</v>
      </c>
      <c r="X244" s="14">
        <f>'Model inputs'!X90*'Model inputs'!AB300+'Model inputs'!X12*'Model inputs'!AB302</f>
        <v>15.430857944858108</v>
      </c>
      <c r="Y244" s="14">
        <f>'Model inputs'!Y90*'Model inputs'!AB300+'Model inputs'!Y12*'Model inputs'!AB302</f>
        <v>15.829315047615204</v>
      </c>
      <c r="Z244" s="14">
        <f>'Model inputs'!Z90*'Model inputs'!AB300+'Model inputs'!Z12*'Model inputs'!AB302</f>
        <v>16.207849295234443</v>
      </c>
      <c r="AA244" s="14">
        <f>'Model inputs'!AA90*'Model inputs'!AB300+'Model inputs'!AA12*'Model inputs'!AB302</f>
        <v>16.567456830472718</v>
      </c>
      <c r="AD244" s="14">
        <f>'Model inputs'!AD322*'Model inputs'!AB300+'Model inputs'!AD178*'Model inputs'!AB302</f>
        <v>0</v>
      </c>
      <c r="AE244" s="14">
        <f>'Model inputs'!AE322*'Model inputs'!AB300+'Model inputs'!AE178*'Model inputs'!AB302</f>
        <v>0</v>
      </c>
      <c r="AF244" s="14">
        <f>'Model inputs'!AF322*'Model inputs'!AB300+'Model inputs'!AF178*'Model inputs'!AB302</f>
        <v>0</v>
      </c>
      <c r="AG244" s="14">
        <f>'Model inputs'!AG322*'Model inputs'!AB300+'Model inputs'!AG178*'Model inputs'!AB302</f>
        <v>0</v>
      </c>
      <c r="AH244" s="14">
        <f>'Model inputs'!AH322*'Model inputs'!AB300+'Model inputs'!AH178*'Model inputs'!AB302</f>
        <v>0</v>
      </c>
      <c r="AI244" s="14">
        <f>'Model inputs'!AI322*'Model inputs'!AB300+'Model inputs'!AI178*'Model inputs'!AB302</f>
        <v>0</v>
      </c>
      <c r="AJ244" s="14">
        <f>'Model inputs'!AJ322*'Model inputs'!AB300+'Model inputs'!AJ178*'Model inputs'!AB302</f>
        <v>0</v>
      </c>
      <c r="AK244" s="14">
        <f>'Model inputs'!AK322*'Model inputs'!AB300+'Model inputs'!AK178*'Model inputs'!AB302</f>
        <v>0</v>
      </c>
    </row>
    <row r="245" outlineLevel="1">
      <c r="A245" t="inlineStr" s="24">
        <is>
          <t xml:space="preserve">Payment processing costs &gt; Team</t>
        </is>
      </c>
      <c r="B245" s="14">
        <f>'Model inputs'!B91*'Model inputs'!AB300+'Model inputs'!B13*'Model inputs'!AB302</f>
        <v>0</v>
      </c>
      <c r="C245" s="14">
        <f>'Model inputs'!C91*'Model inputs'!AB300+'Model inputs'!C13*'Model inputs'!AB302</f>
        <v>0</v>
      </c>
      <c r="D245" s="14">
        <f>'Model inputs'!D91*'Model inputs'!AB300+'Model inputs'!D13*'Model inputs'!AB302</f>
        <v>3.2699999999999996</v>
      </c>
      <c r="E245" s="14">
        <f>'Model inputs'!E91*'Model inputs'!AB300+'Model inputs'!E13*'Model inputs'!AB302</f>
        <v>6.376499999999999</v>
      </c>
      <c r="F245" s="14">
        <f>'Model inputs'!F91*'Model inputs'!AB300+'Model inputs'!F13*'Model inputs'!AB302</f>
        <v>9.327675</v>
      </c>
      <c r="G245" s="14">
        <f>'Model inputs'!G91*'Model inputs'!AB300+'Model inputs'!G13*'Model inputs'!AB302</f>
        <v>12.13129125</v>
      </c>
      <c r="H245" s="14">
        <f>'Model inputs'!H91*'Model inputs'!AB300+'Model inputs'!H13*'Model inputs'!AB302</f>
        <v>14.7947266875</v>
      </c>
      <c r="I245" s="14">
        <f>'Model inputs'!I91*'Model inputs'!AB300+'Model inputs'!I13*'Model inputs'!AB302</f>
        <v>17.324990353125</v>
      </c>
      <c r="J245" s="14">
        <f>'Model inputs'!J91*'Model inputs'!AB300+'Model inputs'!J13*'Model inputs'!AB302</f>
        <v>19.72874083546875</v>
      </c>
      <c r="K245" s="14">
        <f>'Model inputs'!K91*'Model inputs'!AB300+'Model inputs'!K13*'Model inputs'!AB302</f>
        <v>22.012303793695313</v>
      </c>
      <c r="L245" s="14">
        <f>'Model inputs'!L91*'Model inputs'!AB300+'Model inputs'!L13*'Model inputs'!AB302</f>
        <v>24.181688604010542</v>
      </c>
      <c r="M245" s="14">
        <f>'Model inputs'!M91*'Model inputs'!AB300+'Model inputs'!M13*'Model inputs'!AB302</f>
        <v>26.24260417381002</v>
      </c>
      <c r="N245" s="14">
        <f>'Model inputs'!N91*'Model inputs'!AB300+'Model inputs'!N13*'Model inputs'!AB302</f>
        <v>28.20047396511952</v>
      </c>
      <c r="O245" s="14">
        <f>'Model inputs'!O91*'Model inputs'!AB300+'Model inputs'!O13*'Model inputs'!AB302</f>
        <v>30.06045026686354</v>
      </c>
      <c r="P245" s="14">
        <f>'Model inputs'!P91*'Model inputs'!AB300+'Model inputs'!P13*'Model inputs'!AB302</f>
        <v>31.827427753520364</v>
      </c>
      <c r="Q245" s="14">
        <f>'Model inputs'!Q91*'Model inputs'!AB300+'Model inputs'!Q13*'Model inputs'!AB302</f>
        <v>33.50605636584435</v>
      </c>
      <c r="R245" s="14">
        <f>'Model inputs'!R91*'Model inputs'!AB300+'Model inputs'!R13*'Model inputs'!AB302</f>
        <v>35.10075354755213</v>
      </c>
      <c r="S245" s="14">
        <f>'Model inputs'!S91*'Model inputs'!AB300+'Model inputs'!S13*'Model inputs'!AB302</f>
        <v>36.615715870174526</v>
      </c>
      <c r="T245" s="14">
        <f>'Model inputs'!T91*'Model inputs'!AB300+'Model inputs'!T13*'Model inputs'!AB302</f>
        <v>38.0549300766658</v>
      </c>
      <c r="U245" s="14">
        <f>'Model inputs'!U91*'Model inputs'!AB300+'Model inputs'!U13*'Model inputs'!AB302</f>
        <v>39.42218357283251</v>
      </c>
      <c r="V245" s="14">
        <f>'Model inputs'!V91*'Model inputs'!AB300+'Model inputs'!V13*'Model inputs'!AB302</f>
        <v>40.72107439419087</v>
      </c>
      <c r="W245" s="14">
        <f>'Model inputs'!W91*'Model inputs'!AB300+'Model inputs'!W13*'Model inputs'!AB302</f>
        <v>41.95502067448134</v>
      </c>
      <c r="X245" s="14">
        <f>'Model inputs'!X91*'Model inputs'!AB300+'Model inputs'!X13*'Model inputs'!AB302</f>
        <v>43.12726964075727</v>
      </c>
      <c r="Y245" s="14">
        <f>'Model inputs'!Y91*'Model inputs'!AB300+'Model inputs'!Y13*'Model inputs'!AB302</f>
        <v>44.24090615871941</v>
      </c>
      <c r="Z245" s="14">
        <f>'Model inputs'!Z91*'Model inputs'!AB300+'Model inputs'!Z13*'Model inputs'!AB302</f>
        <v>45.29886085078344</v>
      </c>
      <c r="AA245" s="14">
        <f>'Model inputs'!AA91*'Model inputs'!AB300+'Model inputs'!AA13*'Model inputs'!AB302</f>
        <v>46.303917808244265</v>
      </c>
      <c r="AD245" s="14">
        <f>'Model inputs'!AD323*'Model inputs'!AB300+'Model inputs'!AD179*'Model inputs'!AB302</f>
        <v>0</v>
      </c>
      <c r="AE245" s="14">
        <f>'Model inputs'!AE323*'Model inputs'!AB300+'Model inputs'!AE179*'Model inputs'!AB302</f>
        <v>0</v>
      </c>
      <c r="AF245" s="14">
        <f>'Model inputs'!AF323*'Model inputs'!AB300+'Model inputs'!AF179*'Model inputs'!AB302</f>
        <v>0</v>
      </c>
      <c r="AG245" s="14">
        <f>'Model inputs'!AG323*'Model inputs'!AB300+'Model inputs'!AG179*'Model inputs'!AB302</f>
        <v>0</v>
      </c>
      <c r="AH245" s="14">
        <f>'Model inputs'!AH323*'Model inputs'!AB300+'Model inputs'!AH179*'Model inputs'!AB302</f>
        <v>0</v>
      </c>
      <c r="AI245" s="14">
        <f>'Model inputs'!AI323*'Model inputs'!AB300+'Model inputs'!AI179*'Model inputs'!AB302</f>
        <v>0</v>
      </c>
      <c r="AJ245" s="14">
        <f>'Model inputs'!AJ323*'Model inputs'!AB300+'Model inputs'!AJ179*'Model inputs'!AB302</f>
        <v>0</v>
      </c>
      <c r="AK245" s="14">
        <f>'Model inputs'!AK323*'Model inputs'!AB300+'Model inputs'!AK179*'Model inputs'!AB302</f>
        <v>0</v>
      </c>
    </row>
    <row r="246">
      <c r="A246" t="inlineStr" s="23">
        <is>
          <t xml:space="preserve">Payment processing costs</t>
        </is>
      </c>
      <c r="B246" s="11">
        <f>SUM('Model inputs'!B247,'Model inputs'!B248,'Model inputs'!B249)</f>
        <v>0</v>
      </c>
      <c r="C246" s="11">
        <f>SUM('Model inputs'!C247,'Model inputs'!C248,'Model inputs'!C249)</f>
        <v>0</v>
      </c>
      <c r="D246" s="11">
        <f>SUM('Model inputs'!D247,'Model inputs'!D248,'Model inputs'!D249)</f>
        <v>23.759999999999998</v>
      </c>
      <c r="E246" s="11">
        <f>SUM('Model inputs'!E247,'Model inputs'!E248,'Model inputs'!E249)</f>
        <v>48.9456</v>
      </c>
      <c r="F246" s="11">
        <f>SUM('Model inputs'!F247,'Model inputs'!F248,'Model inputs'!F249)</f>
        <v>75.680352</v>
      </c>
      <c r="G246" s="11">
        <f>SUM('Model inputs'!G247,'Model inputs'!G248,'Model inputs'!G249)</f>
        <v>104.09750208</v>
      </c>
      <c r="H246" s="11">
        <f>SUM('Model inputs'!H247,'Model inputs'!H248,'Model inputs'!H249)</f>
        <v>134.34076972800003</v>
      </c>
      <c r="I246" s="11">
        <f>SUM('Model inputs'!I247,'Model inputs'!I248,'Model inputs'!I249)</f>
        <v>166.56518943820802</v>
      </c>
      <c r="J246" s="11">
        <f>SUM('Model inputs'!J247,'Model inputs'!J248,'Model inputs'!J249)</f>
        <v>200.93801956259335</v>
      </c>
      <c r="K246" s="11">
        <f>SUM('Model inputs'!K247,'Model inputs'!K248,'Model inputs'!K249)</f>
        <v>237.63972379754287</v>
      </c>
      <c r="L246" s="11">
        <f>SUM('Model inputs'!L247,'Model inputs'!L248,'Model inputs'!L249)</f>
        <v>276.86503111788954</v>
      </c>
      <c r="M246" s="11">
        <f>SUM('Model inputs'!M247,'Model inputs'!M248,'Model inputs'!M249)</f>
        <v>318.8240804355331</v>
      </c>
      <c r="N246" s="11">
        <f>SUM('Model inputs'!N247,'Model inputs'!N248,'Model inputs'!N249)</f>
        <v>363.7436567620239</v>
      </c>
      <c r="O246" s="11">
        <f>SUM('Model inputs'!O247,'Model inputs'!O248,'Model inputs'!O249)</f>
        <v>411.86852619680093</v>
      </c>
      <c r="P246" s="11">
        <f>SUM('Model inputs'!P247,'Model inputs'!P248,'Model inputs'!P249)</f>
        <v>463.4628776484839</v>
      </c>
      <c r="Q246" s="11">
        <f>SUM('Model inputs'!Q247,'Model inputs'!Q248,'Model inputs'!Q249)</f>
        <v>518.8118798291828</v>
      </c>
      <c r="R246" s="11">
        <f>SUM('Model inputs'!R247,'Model inputs'!R248,'Model inputs'!R249)</f>
        <v>578.2233627449612</v>
      </c>
      <c r="S246" s="11">
        <f>SUM('Model inputs'!S247,'Model inputs'!S248,'Model inputs'!S249)</f>
        <v>642.0296336434129</v>
      </c>
      <c r="T246" s="11">
        <f>SUM('Model inputs'!T247,'Model inputs'!T248,'Model inputs'!T249)</f>
        <v>710.5894381761636</v>
      </c>
      <c r="U246" s="11">
        <f>SUM('Model inputs'!U247,'Model inputs'!U248,'Model inputs'!U249)</f>
        <v>784.2900783947089</v>
      </c>
      <c r="V246" s="11">
        <f>SUM('Model inputs'!V247,'Model inputs'!V248,'Model inputs'!V249)</f>
        <v>863.5497001274488</v>
      </c>
      <c r="W246" s="11">
        <f>SUM('Model inputs'!W247,'Model inputs'!W248,'Model inputs'!W249)</f>
        <v>948.8197632895844</v>
      </c>
      <c r="X246" s="11">
        <f>SUM('Model inputs'!X247,'Model inputs'!X248,'Model inputs'!X249)</f>
        <v>1040.5877097616524</v>
      </c>
      <c r="Y246" s="11">
        <f>SUM('Model inputs'!Y247,'Model inputs'!Y248,'Model inputs'!Y249)</f>
        <v>1139.3798446433075</v>
      </c>
      <c r="Z246" s="11">
        <f>SUM('Model inputs'!Z247,'Model inputs'!Z248,'Model inputs'!Z249)</f>
        <v>1245.764447953481</v>
      </c>
      <c r="AA246" s="11">
        <f>SUM('Model inputs'!AA247,'Model inputs'!AA248,'Model inputs'!AA249)</f>
        <v>1360.3551352136938</v>
      </c>
      <c r="AD246" s="11">
        <f>SUM('Model inputs'!AD247,'Model inputs'!AD248,'Model inputs'!AD249)</f>
        <v>0</v>
      </c>
      <c r="AE246" s="11">
        <f>SUM('Model inputs'!AE247,'Model inputs'!AE248,'Model inputs'!AE249)</f>
        <v>0</v>
      </c>
      <c r="AF246" s="11">
        <f>SUM('Model inputs'!AF247,'Model inputs'!AF248,'Model inputs'!AF249)</f>
        <v>0</v>
      </c>
      <c r="AG246" s="11">
        <f>SUM('Model inputs'!AG247,'Model inputs'!AG248,'Model inputs'!AG249)</f>
        <v>0</v>
      </c>
      <c r="AH246" s="11">
        <f>SUM('Model inputs'!AH247,'Model inputs'!AH248,'Model inputs'!AH249)</f>
        <v>0</v>
      </c>
      <c r="AI246" s="11">
        <f>SUM('Model inputs'!AI247,'Model inputs'!AI248,'Model inputs'!AI249)</f>
        <v>0</v>
      </c>
      <c r="AJ246" s="11">
        <f>SUM('Model inputs'!AJ247,'Model inputs'!AJ248,'Model inputs'!AJ249)</f>
        <v>0</v>
      </c>
      <c r="AK246" s="11">
        <f>SUM('Model inputs'!AK247,'Model inputs'!AK248,'Model inputs'!AK249)</f>
        <v>0</v>
      </c>
    </row>
    <row r="247" outlineLevel="1">
      <c r="A247" t="inlineStr" s="24">
        <is>
          <t xml:space="preserve">Payment processing costs &gt; Agency</t>
        </is>
      </c>
      <c r="B247" s="14">
        <f>'Model inputs'!B93*'Model inputs'!AB301+'Model inputs'!B15*'Model inputs'!AB303</f>
        <v>0</v>
      </c>
      <c r="C247" s="14">
        <f>'Model inputs'!C93*'Model inputs'!AB301+'Model inputs'!C15*'Model inputs'!AB303</f>
        <v>0</v>
      </c>
      <c r="D247" s="14">
        <f>'Model inputs'!D93*'Model inputs'!AB301+'Model inputs'!D15*'Model inputs'!AB303</f>
        <v>9.27</v>
      </c>
      <c r="E247" s="14">
        <f>'Model inputs'!E93*'Model inputs'!AB301+'Model inputs'!E15*'Model inputs'!AB303</f>
        <v>19.0962</v>
      </c>
      <c r="F247" s="14">
        <f>'Model inputs'!F93*'Model inputs'!AB301+'Model inputs'!F15*'Model inputs'!AB303</f>
        <v>29.526804</v>
      </c>
      <c r="G247" s="14">
        <f>'Model inputs'!G93*'Model inputs'!AB301+'Model inputs'!G15*'Model inputs'!AB303</f>
        <v>40.613798159999995</v>
      </c>
      <c r="H247" s="14">
        <f>'Model inputs'!H93*'Model inputs'!AB301+'Model inputs'!H15*'Model inputs'!AB303</f>
        <v>52.413254856</v>
      </c>
      <c r="I247" s="14">
        <f>'Model inputs'!I93*'Model inputs'!AB301+'Model inputs'!I15*'Model inputs'!AB303</f>
        <v>64.985661030816</v>
      </c>
      <c r="J247" s="14">
        <f>'Model inputs'!J93*'Model inputs'!AB301+'Model inputs'!J15*'Model inputs'!AB303</f>
        <v>78.39627278389058</v>
      </c>
      <c r="K247" s="14">
        <f>'Model inputs'!K93*'Model inputs'!AB301+'Model inputs'!K15*'Model inputs'!AB303</f>
        <v>92.71549829979891</v>
      </c>
      <c r="L247" s="14">
        <f>'Model inputs'!L93*'Model inputs'!AB301+'Model inputs'!L15*'Model inputs'!AB303</f>
        <v>108.01931138311599</v>
      </c>
      <c r="M247" s="14">
        <f>'Model inputs'!M93*'Model inputs'!AB301+'Model inputs'!M15*'Model inputs'!AB303</f>
        <v>124.38969804871176</v>
      </c>
      <c r="N247" s="14">
        <f>'Model inputs'!N93*'Model inputs'!AB301+'Model inputs'!N15*'Model inputs'!AB303</f>
        <v>141.91513881245626</v>
      </c>
      <c r="O247" s="14">
        <f>'Model inputs'!O93*'Model inputs'!AB301+'Model inputs'!O15*'Model inputs'!AB303</f>
        <v>160.69112953890337</v>
      </c>
      <c r="P247" s="14">
        <f>'Model inputs'!P93*'Model inputs'!AB301+'Model inputs'!P15*'Model inputs'!AB303</f>
        <v>180.82074393103727</v>
      </c>
      <c r="Q247" s="14">
        <f>'Model inputs'!Q93*'Model inputs'!AB301+'Model inputs'!Q15*'Model inputs'!AB303</f>
        <v>202.41524099396145</v>
      </c>
      <c r="R247" s="14">
        <f>'Model inputs'!R93*'Model inputs'!AB301+'Model inputs'!R15*'Model inputs'!AB303</f>
        <v>225.59472107095073</v>
      </c>
      <c r="S247" s="14">
        <f>'Model inputs'!S93*'Model inputs'!AB301+'Model inputs'!S15*'Model inputs'!AB303</f>
        <v>250.48883433814973</v>
      </c>
      <c r="T247" s="14">
        <f>'Model inputs'!T93*'Model inputs'!AB301+'Model inputs'!T15*'Model inputs'!AB303</f>
        <v>277.2375459550941</v>
      </c>
      <c r="U247" s="14">
        <f>'Model inputs'!U93*'Model inputs'!AB301+'Model inputs'!U15*'Model inputs'!AB303</f>
        <v>305.99196240399624</v>
      </c>
      <c r="V247" s="14">
        <f>'Model inputs'!V93*'Model inputs'!AB301+'Model inputs'!V15*'Model inputs'!AB303</f>
        <v>336.91522391336065</v>
      </c>
      <c r="W247" s="14">
        <f>'Model inputs'!W93*'Model inputs'!AB301+'Model inputs'!W15*'Model inputs'!AB303</f>
        <v>370.1834682531333</v>
      </c>
      <c r="X247" s="14">
        <f>'Model inputs'!X93*'Model inputs'!AB301+'Model inputs'!X15*'Model inputs'!AB303</f>
        <v>405.9868716115537</v>
      </c>
      <c r="Y247" s="14">
        <f>'Model inputs'!Y93*'Model inputs'!AB301+'Model inputs'!Y15*'Model inputs'!AB303</f>
        <v>444.53077272068435</v>
      </c>
      <c r="Z247" s="14">
        <f>'Model inputs'!Z93*'Model inputs'!AB301+'Model inputs'!Z15*'Model inputs'!AB303</f>
        <v>486.03688689094133</v>
      </c>
      <c r="AA247" s="14">
        <f>'Model inputs'!AA93*'Model inputs'!AB301+'Model inputs'!AA15*'Model inputs'!AB303</f>
        <v>530.7446171477668</v>
      </c>
      <c r="AD247" s="14">
        <f>'Model inputs'!AD325*'Model inputs'!AB301+'Model inputs'!AD181*'Model inputs'!AB303</f>
        <v>0</v>
      </c>
      <c r="AE247" s="14">
        <f>'Model inputs'!AE325*'Model inputs'!AB301+'Model inputs'!AE181*'Model inputs'!AB303</f>
        <v>0</v>
      </c>
      <c r="AF247" s="14">
        <f>'Model inputs'!AF325*'Model inputs'!AB301+'Model inputs'!AF181*'Model inputs'!AB303</f>
        <v>0</v>
      </c>
      <c r="AG247" s="14">
        <f>'Model inputs'!AG325*'Model inputs'!AB301+'Model inputs'!AG181*'Model inputs'!AB303</f>
        <v>0</v>
      </c>
      <c r="AH247" s="14">
        <f>'Model inputs'!AH325*'Model inputs'!AB301+'Model inputs'!AH181*'Model inputs'!AB303</f>
        <v>0</v>
      </c>
      <c r="AI247" s="14">
        <f>'Model inputs'!AI325*'Model inputs'!AB301+'Model inputs'!AI181*'Model inputs'!AB303</f>
        <v>0</v>
      </c>
      <c r="AJ247" s="14">
        <f>'Model inputs'!AJ325*'Model inputs'!AB301+'Model inputs'!AJ181*'Model inputs'!AB303</f>
        <v>0</v>
      </c>
      <c r="AK247" s="14">
        <f>'Model inputs'!AK325*'Model inputs'!AB301+'Model inputs'!AK181*'Model inputs'!AB303</f>
        <v>0</v>
      </c>
    </row>
    <row r="248" outlineLevel="1">
      <c r="A248" t="inlineStr" s="24">
        <is>
          <t xml:space="preserve">Payment processing costs &gt; Developer</t>
        </is>
      </c>
      <c r="B248" s="14">
        <f>'Model inputs'!B94*'Model inputs'!AB301+'Model inputs'!B16*'Model inputs'!AB303</f>
        <v>0</v>
      </c>
      <c r="C248" s="14">
        <f>'Model inputs'!C94*'Model inputs'!AB301+'Model inputs'!C16*'Model inputs'!AB303</f>
        <v>0</v>
      </c>
      <c r="D248" s="14">
        <f>'Model inputs'!D94*'Model inputs'!AB301+'Model inputs'!D16*'Model inputs'!AB303</f>
        <v>4.68</v>
      </c>
      <c r="E248" s="14">
        <f>'Model inputs'!E94*'Model inputs'!AB301+'Model inputs'!E16*'Model inputs'!AB303</f>
        <v>9.6408</v>
      </c>
      <c r="F248" s="14">
        <f>'Model inputs'!F94*'Model inputs'!AB301+'Model inputs'!F16*'Model inputs'!AB303</f>
        <v>14.906735999999999</v>
      </c>
      <c r="G248" s="14">
        <f>'Model inputs'!G94*'Model inputs'!AB301+'Model inputs'!G16*'Model inputs'!AB303</f>
        <v>20.50405344</v>
      </c>
      <c r="H248" s="14">
        <f>'Model inputs'!H94*'Model inputs'!AB301+'Model inputs'!H16*'Model inputs'!AB303</f>
        <v>26.461060704000005</v>
      </c>
      <c r="I248" s="14">
        <f>'Model inputs'!I94*'Model inputs'!AB301+'Model inputs'!I16*'Model inputs'!AB303</f>
        <v>32.808294889344005</v>
      </c>
      <c r="J248" s="14">
        <f>'Model inputs'!J94*'Model inputs'!AB301+'Model inputs'!J16*'Model inputs'!AB303</f>
        <v>39.57870082293505</v>
      </c>
      <c r="K248" s="14">
        <f>'Model inputs'!K94*'Model inputs'!AB301+'Model inputs'!K16*'Model inputs'!AB303</f>
        <v>46.8078243843645</v>
      </c>
      <c r="L248" s="14">
        <f>'Model inputs'!L94*'Model inputs'!AB301+'Model inputs'!L16*'Model inputs'!AB303</f>
        <v>54.53402128079642</v>
      </c>
      <c r="M248" s="14">
        <f>'Model inputs'!M94*'Model inputs'!AB301+'Model inputs'!M16*'Model inputs'!AB303</f>
        <v>62.79868251002924</v>
      </c>
      <c r="N248" s="14">
        <f>'Model inputs'!N94*'Model inputs'!AB301+'Model inputs'!N16*'Model inputs'!AB303</f>
        <v>71.6464778470653</v>
      </c>
      <c r="O248" s="14">
        <f>'Model inputs'!O94*'Model inputs'!AB301+'Model inputs'!O16*'Model inputs'!AB303</f>
        <v>81.12561879633957</v>
      </c>
      <c r="P248" s="14">
        <f>'Model inputs'!P94*'Model inputs'!AB301+'Model inputs'!P16*'Model inputs'!AB303</f>
        <v>91.28814256712563</v>
      </c>
      <c r="Q248" s="14">
        <f>'Model inputs'!Q94*'Model inputs'!AB301+'Model inputs'!Q16*'Model inputs'!AB303</f>
        <v>102.19021875423297</v>
      </c>
      <c r="R248" s="14">
        <f>'Model inputs'!R94*'Model inputs'!AB301+'Model inputs'!R16*'Model inputs'!AB303</f>
        <v>113.89248054067416</v>
      </c>
      <c r="S248" s="14">
        <f>'Model inputs'!S94*'Model inputs'!AB301+'Model inputs'!S16*'Model inputs'!AB303</f>
        <v>126.46038238430859</v>
      </c>
      <c r="T248" s="14">
        <f>'Model inputs'!T94*'Model inputs'!AB301+'Model inputs'!T16*'Model inputs'!AB303</f>
        <v>139.96458630742615</v>
      </c>
      <c r="U248" s="14">
        <f>'Model inputs'!U94*'Model inputs'!AB301+'Model inputs'!U16*'Model inputs'!AB303</f>
        <v>154.4813790777457</v>
      </c>
      <c r="V248" s="14">
        <f>'Model inputs'!V94*'Model inputs'!AB301+'Model inputs'!V16*'Model inputs'!AB303</f>
        <v>170.09312275237625</v>
      </c>
      <c r="W248" s="14">
        <f>'Model inputs'!W94*'Model inputs'!AB301+'Model inputs'!W16*'Model inputs'!AB303</f>
        <v>186.88874125400906</v>
      </c>
      <c r="X248" s="14">
        <f>'Model inputs'!X94*'Model inputs'!AB301+'Model inputs'!X16*'Model inputs'!AB303</f>
        <v>204.96424586214363</v>
      </c>
      <c r="Y248" s="14">
        <f>'Model inputs'!Y94*'Model inputs'!AB301+'Model inputs'!Y16*'Model inputs'!AB303</f>
        <v>224.4233027327727</v>
      </c>
      <c r="Z248" s="14">
        <f>'Model inputs'!Z94*'Model inputs'!AB301+'Model inputs'!Z16*'Model inputs'!AB303</f>
        <v>245.37784580901894</v>
      </c>
      <c r="AA248" s="14">
        <f>'Model inputs'!AA94*'Model inputs'!AB301+'Model inputs'!AA16*'Model inputs'!AB303</f>
        <v>267.9487387542124</v>
      </c>
      <c r="AD248" s="14">
        <f>'Model inputs'!AD326*'Model inputs'!AB301+'Model inputs'!AD182*'Model inputs'!AB303</f>
        <v>0</v>
      </c>
      <c r="AE248" s="14">
        <f>'Model inputs'!AE326*'Model inputs'!AB301+'Model inputs'!AE182*'Model inputs'!AB303</f>
        <v>0</v>
      </c>
      <c r="AF248" s="14">
        <f>'Model inputs'!AF326*'Model inputs'!AB301+'Model inputs'!AF182*'Model inputs'!AB303</f>
        <v>0</v>
      </c>
      <c r="AG248" s="14">
        <f>'Model inputs'!AG326*'Model inputs'!AB301+'Model inputs'!AG182*'Model inputs'!AB303</f>
        <v>0</v>
      </c>
      <c r="AH248" s="14">
        <f>'Model inputs'!AH326*'Model inputs'!AB301+'Model inputs'!AH182*'Model inputs'!AB303</f>
        <v>0</v>
      </c>
      <c r="AI248" s="14">
        <f>'Model inputs'!AI326*'Model inputs'!AB301+'Model inputs'!AI182*'Model inputs'!AB303</f>
        <v>0</v>
      </c>
      <c r="AJ248" s="14">
        <f>'Model inputs'!AJ326*'Model inputs'!AB301+'Model inputs'!AJ182*'Model inputs'!AB303</f>
        <v>0</v>
      </c>
      <c r="AK248" s="14">
        <f>'Model inputs'!AK326*'Model inputs'!AB301+'Model inputs'!AK182*'Model inputs'!AB303</f>
        <v>0</v>
      </c>
    </row>
    <row r="249" outlineLevel="1">
      <c r="A249" t="inlineStr" s="24">
        <is>
          <t xml:space="preserve">Payment processing costs &gt; Team</t>
        </is>
      </c>
      <c r="B249" s="14">
        <f>'Model inputs'!B95*'Model inputs'!AB301+'Model inputs'!B17*'Model inputs'!AB303</f>
        <v>0</v>
      </c>
      <c r="C249" s="14">
        <f>'Model inputs'!C95*'Model inputs'!AB301+'Model inputs'!C17*'Model inputs'!AB303</f>
        <v>0</v>
      </c>
      <c r="D249" s="14">
        <f>'Model inputs'!D95*'Model inputs'!AB301+'Model inputs'!D17*'Model inputs'!AB303</f>
        <v>9.81</v>
      </c>
      <c r="E249" s="14">
        <f>'Model inputs'!E95*'Model inputs'!AB301+'Model inputs'!E17*'Model inputs'!AB303</f>
        <v>20.2086</v>
      </c>
      <c r="F249" s="14">
        <f>'Model inputs'!F95*'Model inputs'!AB301+'Model inputs'!F17*'Model inputs'!AB303</f>
        <v>31.246812000000006</v>
      </c>
      <c r="G249" s="14">
        <f>'Model inputs'!G95*'Model inputs'!AB301+'Model inputs'!G17*'Model inputs'!AB303</f>
        <v>42.979650480000004</v>
      </c>
      <c r="H249" s="14">
        <f>'Model inputs'!H95*'Model inputs'!AB301+'Model inputs'!H17*'Model inputs'!AB303</f>
        <v>55.46645416800001</v>
      </c>
      <c r="I249" s="14">
        <f>'Model inputs'!I95*'Model inputs'!AB301+'Model inputs'!I17*'Model inputs'!AB303</f>
        <v>68.771233518048</v>
      </c>
      <c r="J249" s="14">
        <f>'Model inputs'!J95*'Model inputs'!AB301+'Model inputs'!J17*'Model inputs'!AB303</f>
        <v>82.96304595576771</v>
      </c>
      <c r="K249" s="14">
        <f>'Model inputs'!K95*'Model inputs'!AB301+'Model inputs'!K17*'Model inputs'!AB303</f>
        <v>98.11640111337945</v>
      </c>
      <c r="L249" s="14">
        <f>'Model inputs'!L95*'Model inputs'!AB301+'Model inputs'!L17*'Model inputs'!AB303</f>
        <v>114.31169845397714</v>
      </c>
      <c r="M249" s="14">
        <f>'Model inputs'!M95*'Model inputs'!AB301+'Model inputs'!M17*'Model inputs'!AB303</f>
        <v>131.6356998767921</v>
      </c>
      <c r="N249" s="14">
        <f>'Model inputs'!N95*'Model inputs'!AB301+'Model inputs'!N17*'Model inputs'!AB303</f>
        <v>150.18204010250233</v>
      </c>
      <c r="O249" s="14">
        <f>'Model inputs'!O95*'Model inputs'!AB301+'Model inputs'!O17*'Model inputs'!AB303</f>
        <v>170.051777861558</v>
      </c>
      <c r="P249" s="14">
        <f>'Model inputs'!P95*'Model inputs'!AB301+'Model inputs'!P17*'Model inputs'!AB303</f>
        <v>191.35399115032104</v>
      </c>
      <c r="Q249" s="14">
        <f>'Model inputs'!Q95*'Model inputs'!AB301+'Model inputs'!Q17*'Model inputs'!AB303</f>
        <v>214.20642008098832</v>
      </c>
      <c r="R249" s="14">
        <f>'Model inputs'!R95*'Model inputs'!AB301+'Model inputs'!R17*'Model inputs'!AB303</f>
        <v>238.7361611333362</v>
      </c>
      <c r="S249" s="14">
        <f>'Model inputs'!S95*'Model inputs'!AB301+'Model inputs'!S17*'Model inputs'!AB303</f>
        <v>265.0804169209546</v>
      </c>
      <c r="T249" s="14">
        <f>'Model inputs'!T95*'Model inputs'!AB301+'Model inputs'!T17*'Model inputs'!AB303</f>
        <v>293.38730591364333</v>
      </c>
      <c r="U249" s="14">
        <f>'Model inputs'!U95*'Model inputs'!AB301+'Model inputs'!U17*'Model inputs'!AB303</f>
        <v>323.816736912967</v>
      </c>
      <c r="V249" s="14">
        <f>'Model inputs'!V95*'Model inputs'!AB301+'Model inputs'!V17*'Model inputs'!AB303</f>
        <v>356.5413534617119</v>
      </c>
      <c r="W249" s="14">
        <f>'Model inputs'!W95*'Model inputs'!AB301+'Model inputs'!W17*'Model inputs'!AB303</f>
        <v>391.74755378244214</v>
      </c>
      <c r="X249" s="14">
        <f>'Model inputs'!X95*'Model inputs'!AB301+'Model inputs'!X17*'Model inputs'!AB303</f>
        <v>429.63659228795507</v>
      </c>
      <c r="Y249" s="14">
        <f>'Model inputs'!Y95*'Model inputs'!AB301+'Model inputs'!Y17*'Model inputs'!AB303</f>
        <v>470.42576918985054</v>
      </c>
      <c r="Z249" s="14">
        <f>'Model inputs'!Z95*'Model inputs'!AB301+'Model inputs'!Z17*'Model inputs'!AB303</f>
        <v>514.3497152535207</v>
      </c>
      <c r="AA249" s="14">
        <f>'Model inputs'!AA95*'Model inputs'!AB301+'Model inputs'!AA17*'Model inputs'!AB303</f>
        <v>561.6617793117147</v>
      </c>
      <c r="AD249" s="14">
        <f>'Model inputs'!AD327*'Model inputs'!AB301+'Model inputs'!AD183*'Model inputs'!AB303</f>
        <v>0</v>
      </c>
      <c r="AE249" s="14">
        <f>'Model inputs'!AE327*'Model inputs'!AB301+'Model inputs'!AE183*'Model inputs'!AB303</f>
        <v>0</v>
      </c>
      <c r="AF249" s="14">
        <f>'Model inputs'!AF327*'Model inputs'!AB301+'Model inputs'!AF183*'Model inputs'!AB303</f>
        <v>0</v>
      </c>
      <c r="AG249" s="14">
        <f>'Model inputs'!AG327*'Model inputs'!AB301+'Model inputs'!AG183*'Model inputs'!AB303</f>
        <v>0</v>
      </c>
      <c r="AH249" s="14">
        <f>'Model inputs'!AH327*'Model inputs'!AB301+'Model inputs'!AH183*'Model inputs'!AB303</f>
        <v>0</v>
      </c>
      <c r="AI249" s="14">
        <f>'Model inputs'!AI327*'Model inputs'!AB301+'Model inputs'!AI183*'Model inputs'!AB303</f>
        <v>0</v>
      </c>
      <c r="AJ249" s="14">
        <f>'Model inputs'!AJ327*'Model inputs'!AB301+'Model inputs'!AJ183*'Model inputs'!AB303</f>
        <v>0</v>
      </c>
      <c r="AK249" s="14">
        <f>'Model inputs'!AK327*'Model inputs'!AB301+'Model inputs'!AK183*'Model inputs'!AB303</f>
        <v>0</v>
      </c>
    </row>
    <row r="250">
      <c r="A250" t="inlineStr" s="23">
        <is>
          <t xml:space="preserve">Run delivery costs</t>
        </is>
      </c>
      <c r="B250" s="11">
        <f>SUM('Model inputs'!B251,'Model inputs'!B252,'Model inputs'!B253)</f>
        <v>0</v>
      </c>
      <c r="C250" s="11">
        <f>SUM('Model inputs'!C251,'Model inputs'!C252,'Model inputs'!C253)</f>
        <v>0</v>
      </c>
      <c r="D250" s="11">
        <f>SUM('Model inputs'!D251,'Model inputs'!D252,'Model inputs'!D253)</f>
        <v>10.49708</v>
      </c>
      <c r="E250" s="11">
        <f>SUM('Model inputs'!E251,'Model inputs'!E252,'Model inputs'!E253)</f>
        <v>20.469306000000003</v>
      </c>
      <c r="F250" s="11">
        <f>SUM('Model inputs'!F251,'Model inputs'!F252,'Model inputs'!F253)</f>
        <v>29.942920700000002</v>
      </c>
      <c r="G250" s="11">
        <f>SUM('Model inputs'!G251,'Model inputs'!G252,'Model inputs'!G253)</f>
        <v>38.942854665</v>
      </c>
      <c r="H250" s="11">
        <f>SUM('Model inputs'!H251,'Model inputs'!H252,'Model inputs'!H253)</f>
        <v>47.492791931750006</v>
      </c>
      <c r="I250" s="11">
        <f>SUM('Model inputs'!I251,'Model inputs'!I252,'Model inputs'!I253)</f>
        <v>55.6152323351625</v>
      </c>
      <c r="J250" s="11">
        <f>SUM('Model inputs'!J251,'Model inputs'!J252,'Model inputs'!J253)</f>
        <v>63.33155071840439</v>
      </c>
      <c r="K250" s="11">
        <f>SUM('Model inputs'!K251,'Model inputs'!K252,'Model inputs'!K253)</f>
        <v>70.66205318248416</v>
      </c>
      <c r="L250" s="11">
        <f>SUM('Model inputs'!L251,'Model inputs'!L252,'Model inputs'!L253)</f>
        <v>77.62603052335996</v>
      </c>
      <c r="M250" s="11">
        <f>SUM('Model inputs'!M251,'Model inputs'!M252,'Model inputs'!M253)</f>
        <v>84.24180899719195</v>
      </c>
      <c r="N250" s="11">
        <f>SUM('Model inputs'!N251,'Model inputs'!N252,'Model inputs'!N253)</f>
        <v>90.52679854733236</v>
      </c>
      <c r="O250" s="11">
        <f>SUM('Model inputs'!O251,'Model inputs'!O252,'Model inputs'!O253)</f>
        <v>96.49753861996575</v>
      </c>
      <c r="P250" s="11">
        <f>SUM('Model inputs'!P251,'Model inputs'!P252,'Model inputs'!P253)</f>
        <v>102.16974168896746</v>
      </c>
      <c r="Q250" s="11">
        <f>SUM('Model inputs'!Q251,'Model inputs'!Q252,'Model inputs'!Q253)</f>
        <v>107.55833460451908</v>
      </c>
      <c r="R250" s="11">
        <f>SUM('Model inputs'!R251,'Model inputs'!R252,'Model inputs'!R253)</f>
        <v>112.67749787429315</v>
      </c>
      <c r="S250" s="11">
        <f>SUM('Model inputs'!S251,'Model inputs'!S252,'Model inputs'!S253)</f>
        <v>117.54070298057847</v>
      </c>
      <c r="T250" s="11">
        <f>SUM('Model inputs'!T251,'Model inputs'!T252,'Model inputs'!T253)</f>
        <v>122.16074783154954</v>
      </c>
      <c r="U250" s="11">
        <f>SUM('Model inputs'!U251,'Model inputs'!U252,'Model inputs'!U253)</f>
        <v>126.54979043997207</v>
      </c>
      <c r="V250" s="11">
        <f>SUM('Model inputs'!V251,'Model inputs'!V252,'Model inputs'!V253)</f>
        <v>130.71938091797347</v>
      </c>
      <c r="W250" s="11">
        <f>SUM('Model inputs'!W251,'Model inputs'!W252,'Model inputs'!W253)</f>
        <v>134.6804918720748</v>
      </c>
      <c r="X250" s="11">
        <f>SUM('Model inputs'!X251,'Model inputs'!X252,'Model inputs'!X253)</f>
        <v>138.44354727847107</v>
      </c>
      <c r="Y250" s="11">
        <f>SUM('Model inputs'!Y251,'Model inputs'!Y252,'Model inputs'!Y253)</f>
        <v>142.01844991454755</v>
      </c>
      <c r="Z250" s="11">
        <f>SUM('Model inputs'!Z251,'Model inputs'!Z252,'Model inputs'!Z253)</f>
        <v>145.41460741882017</v>
      </c>
      <c r="AA250" s="11">
        <f>SUM('Model inputs'!AA251,'Model inputs'!AA252,'Model inputs'!AA253)</f>
        <v>148.64095704787917</v>
      </c>
      <c r="AD250" s="11">
        <f>SUM('Model inputs'!AD251,'Model inputs'!AD252,'Model inputs'!AD253)</f>
        <v>0</v>
      </c>
      <c r="AE250" s="11">
        <f>SUM('Model inputs'!AE251,'Model inputs'!AE252,'Model inputs'!AE253)</f>
        <v>0</v>
      </c>
      <c r="AF250" s="11">
        <f>SUM('Model inputs'!AF251,'Model inputs'!AF252,'Model inputs'!AF253)</f>
        <v>0</v>
      </c>
      <c r="AG250" s="11">
        <f>SUM('Model inputs'!AG251,'Model inputs'!AG252,'Model inputs'!AG253)</f>
        <v>0</v>
      </c>
      <c r="AH250" s="11">
        <f>SUM('Model inputs'!AH251,'Model inputs'!AH252,'Model inputs'!AH253)</f>
        <v>0</v>
      </c>
      <c r="AI250" s="11">
        <f>SUM('Model inputs'!AI251,'Model inputs'!AI252,'Model inputs'!AI253)</f>
        <v>0</v>
      </c>
      <c r="AJ250" s="11">
        <f>SUM('Model inputs'!AJ251,'Model inputs'!AJ252,'Model inputs'!AJ253)</f>
        <v>0</v>
      </c>
      <c r="AK250" s="11">
        <f>SUM('Model inputs'!AK251,'Model inputs'!AK252,'Model inputs'!AK253)</f>
        <v>0</v>
      </c>
    </row>
    <row r="251" outlineLevel="1">
      <c r="A251" t="inlineStr" s="24">
        <is>
          <t xml:space="preserve">Run delivery costs &gt; Agency</t>
        </is>
      </c>
      <c r="B251" s="14">
        <f>'Model inputs'!B278*'Model inputs'!AB285</f>
        <v>0</v>
      </c>
      <c r="C251" s="14">
        <f>'Model inputs'!C278*'Model inputs'!AB285</f>
        <v>0</v>
      </c>
      <c r="D251" s="14">
        <f>'Model inputs'!D278*'Model inputs'!AB285</f>
        <v>4.7714</v>
      </c>
      <c r="E251" s="14">
        <f>'Model inputs'!E278*'Model inputs'!AB285</f>
        <v>9.30423</v>
      </c>
      <c r="F251" s="14">
        <f>'Model inputs'!F278*'Model inputs'!AB285</f>
        <v>13.610418500000002</v>
      </c>
      <c r="G251" s="14">
        <f>'Model inputs'!G278*'Model inputs'!AB285</f>
        <v>17.701297575</v>
      </c>
      <c r="H251" s="14">
        <f>'Model inputs'!H278*'Model inputs'!AB285</f>
        <v>21.587632696250004</v>
      </c>
      <c r="I251" s="14">
        <f>'Model inputs'!I278*'Model inputs'!AB285</f>
        <v>25.2796510614375</v>
      </c>
      <c r="J251" s="14">
        <f>'Model inputs'!J278*'Model inputs'!AB285</f>
        <v>28.78706850836563</v>
      </c>
      <c r="K251" s="14">
        <f>'Model inputs'!K278*'Model inputs'!AB285</f>
        <v>32.119115082947346</v>
      </c>
      <c r="L251" s="14">
        <f>'Model inputs'!L278*'Model inputs'!AB285</f>
        <v>35.28455932879998</v>
      </c>
      <c r="M251" s="14">
        <f>'Model inputs'!M278*'Model inputs'!AB285</f>
        <v>38.29173136235998</v>
      </c>
      <c r="N251" s="14">
        <f>'Model inputs'!N278*'Model inputs'!AB285</f>
        <v>41.14854479424198</v>
      </c>
      <c r="O251" s="14">
        <f>'Model inputs'!O278*'Model inputs'!AB285</f>
        <v>43.86251755452989</v>
      </c>
      <c r="P251" s="14">
        <f>'Model inputs'!P278*'Model inputs'!AB285</f>
        <v>46.44079167680339</v>
      </c>
      <c r="Q251" s="14">
        <f>'Model inputs'!Q278*'Model inputs'!AB285</f>
        <v>48.89015209296322</v>
      </c>
      <c r="R251" s="14">
        <f>'Model inputs'!R278*'Model inputs'!AB285</f>
        <v>51.21704448831507</v>
      </c>
      <c r="S251" s="14">
        <f>'Model inputs'!S278*'Model inputs'!AB285</f>
        <v>53.42759226389931</v>
      </c>
      <c r="T251" s="14">
        <f>'Model inputs'!T278*'Model inputs'!AB285</f>
        <v>55.52761265070434</v>
      </c>
      <c r="U251" s="14">
        <f>'Model inputs'!U278*'Model inputs'!AB285</f>
        <v>57.522632018169126</v>
      </c>
      <c r="V251" s="14">
        <f>'Model inputs'!V278*'Model inputs'!AB285</f>
        <v>59.41790041726067</v>
      </c>
      <c r="W251" s="14">
        <f>'Model inputs'!W278*'Model inputs'!AB285</f>
        <v>61.218405396397635</v>
      </c>
      <c r="X251" s="14">
        <f>'Model inputs'!X278*'Model inputs'!AB285</f>
        <v>62.92888512657776</v>
      </c>
      <c r="Y251" s="14">
        <f>'Model inputs'!Y278*'Model inputs'!AB285</f>
        <v>64.55384087024888</v>
      </c>
      <c r="Z251" s="14">
        <f>'Model inputs'!Z278*'Model inputs'!AB285</f>
        <v>66.09754882673644</v>
      </c>
      <c r="AA251" s="14">
        <f>'Model inputs'!AA278*'Model inputs'!AB285</f>
        <v>67.56407138539961</v>
      </c>
      <c r="AD251" s="14">
        <f>'Model inputs'!AD278*'Model inputs'!AB285</f>
        <v>0</v>
      </c>
      <c r="AE251" s="14">
        <f>'Model inputs'!AE278*'Model inputs'!AB285</f>
        <v>0</v>
      </c>
      <c r="AF251" s="14">
        <f>'Model inputs'!AF278*'Model inputs'!AB285</f>
        <v>0</v>
      </c>
      <c r="AG251" s="14">
        <f>'Model inputs'!AG278*'Model inputs'!AB285</f>
        <v>0</v>
      </c>
      <c r="AH251" s="14">
        <f>'Model inputs'!AH278*'Model inputs'!AB285</f>
        <v>0</v>
      </c>
      <c r="AI251" s="14">
        <f>'Model inputs'!AI278*'Model inputs'!AB285</f>
        <v>0</v>
      </c>
      <c r="AJ251" s="14">
        <f>'Model inputs'!AJ278*'Model inputs'!AB285</f>
        <v>0</v>
      </c>
      <c r="AK251" s="14">
        <f>'Model inputs'!AK278*'Model inputs'!AB285</f>
        <v>0</v>
      </c>
    </row>
    <row r="252" outlineLevel="1">
      <c r="A252" t="inlineStr" s="24">
        <is>
          <t xml:space="preserve">Run delivery costs &gt; Developer</t>
        </is>
      </c>
      <c r="B252" s="14">
        <f>'Model inputs'!B279*'Model inputs'!AB285</f>
        <v>0</v>
      </c>
      <c r="C252" s="14">
        <f>'Model inputs'!C279*'Model inputs'!AB285</f>
        <v>0</v>
      </c>
      <c r="D252" s="14">
        <f>'Model inputs'!D279*'Model inputs'!AB285</f>
        <v>0.95428</v>
      </c>
      <c r="E252" s="14">
        <f>'Model inputs'!E279*'Model inputs'!AB285</f>
        <v>1.8608460000000002</v>
      </c>
      <c r="F252" s="14">
        <f>'Model inputs'!F279*'Model inputs'!AB285</f>
        <v>2.7220837</v>
      </c>
      <c r="G252" s="14">
        <f>'Model inputs'!G279*'Model inputs'!AB285</f>
        <v>3.5402595150000002</v>
      </c>
      <c r="H252" s="14">
        <f>'Model inputs'!H279*'Model inputs'!AB285</f>
        <v>4.31752653925</v>
      </c>
      <c r="I252" s="14">
        <f>'Model inputs'!I279*'Model inputs'!AB285</f>
        <v>5.0559302122875</v>
      </c>
      <c r="J252" s="14">
        <f>'Model inputs'!J279*'Model inputs'!AB285</f>
        <v>5.7574137016731255</v>
      </c>
      <c r="K252" s="14">
        <f>'Model inputs'!K279*'Model inputs'!AB285</f>
        <v>6.423823016589469</v>
      </c>
      <c r="L252" s="14">
        <f>'Model inputs'!L279*'Model inputs'!AB285</f>
        <v>7.056911865759996</v>
      </c>
      <c r="M252" s="14">
        <f>'Model inputs'!M279*'Model inputs'!AB285</f>
        <v>7.658346272471997</v>
      </c>
      <c r="N252" s="14">
        <f>'Model inputs'!N279*'Model inputs'!AB285</f>
        <v>8.229708958848397</v>
      </c>
      <c r="O252" s="14">
        <f>'Model inputs'!O279*'Model inputs'!AB285</f>
        <v>8.772503510905977</v>
      </c>
      <c r="P252" s="14">
        <f>'Model inputs'!P279*'Model inputs'!AB285</f>
        <v>9.288158335360679</v>
      </c>
      <c r="Q252" s="14">
        <f>'Model inputs'!Q279*'Model inputs'!AB285</f>
        <v>9.778030418592644</v>
      </c>
      <c r="R252" s="14">
        <f>'Model inputs'!R279*'Model inputs'!AB285</f>
        <v>10.243408897663015</v>
      </c>
      <c r="S252" s="14">
        <f>'Model inputs'!S279*'Model inputs'!AB285</f>
        <v>10.685518452779863</v>
      </c>
      <c r="T252" s="14">
        <f>'Model inputs'!T279*'Model inputs'!AB285</f>
        <v>11.105522530140869</v>
      </c>
      <c r="U252" s="14">
        <f>'Model inputs'!U279*'Model inputs'!AB285</f>
        <v>11.504526403633825</v>
      </c>
      <c r="V252" s="14">
        <f>'Model inputs'!V279*'Model inputs'!AB285</f>
        <v>11.883580083452134</v>
      </c>
      <c r="W252" s="14">
        <f>'Model inputs'!W279*'Model inputs'!AB285</f>
        <v>12.243681079279527</v>
      </c>
      <c r="X252" s="14">
        <f>'Model inputs'!X279*'Model inputs'!AB285</f>
        <v>12.58577702531555</v>
      </c>
      <c r="Y252" s="14">
        <f>'Model inputs'!Y279*'Model inputs'!AB285</f>
        <v>12.910768174049776</v>
      </c>
      <c r="Z252" s="14">
        <f>'Model inputs'!Z279*'Model inputs'!AB285</f>
        <v>13.219509765347286</v>
      </c>
      <c r="AA252" s="14">
        <f>'Model inputs'!AA279*'Model inputs'!AB285</f>
        <v>13.512814277079922</v>
      </c>
      <c r="AD252" s="14">
        <f>'Model inputs'!AD279*'Model inputs'!AB285</f>
        <v>0</v>
      </c>
      <c r="AE252" s="14">
        <f>'Model inputs'!AE279*'Model inputs'!AB285</f>
        <v>0</v>
      </c>
      <c r="AF252" s="14">
        <f>'Model inputs'!AF279*'Model inputs'!AB285</f>
        <v>0</v>
      </c>
      <c r="AG252" s="14">
        <f>'Model inputs'!AG279*'Model inputs'!AB285</f>
        <v>0</v>
      </c>
      <c r="AH252" s="14">
        <f>'Model inputs'!AH279*'Model inputs'!AB285</f>
        <v>0</v>
      </c>
      <c r="AI252" s="14">
        <f>'Model inputs'!AI279*'Model inputs'!AB285</f>
        <v>0</v>
      </c>
      <c r="AJ252" s="14">
        <f>'Model inputs'!AJ279*'Model inputs'!AB285</f>
        <v>0</v>
      </c>
      <c r="AK252" s="14">
        <f>'Model inputs'!AK279*'Model inputs'!AB285</f>
        <v>0</v>
      </c>
    </row>
    <row r="253" outlineLevel="1">
      <c r="A253" t="inlineStr" s="24">
        <is>
          <t xml:space="preserve">Run delivery costs &gt; Team</t>
        </is>
      </c>
      <c r="B253" s="14">
        <f>'Model inputs'!B280*'Model inputs'!AB285</f>
        <v>0</v>
      </c>
      <c r="C253" s="14">
        <f>'Model inputs'!C280*'Model inputs'!AB285</f>
        <v>0</v>
      </c>
      <c r="D253" s="14">
        <f>'Model inputs'!D280*'Model inputs'!AB285</f>
        <v>4.7714</v>
      </c>
      <c r="E253" s="14">
        <f>'Model inputs'!E280*'Model inputs'!AB285</f>
        <v>9.30423</v>
      </c>
      <c r="F253" s="14">
        <f>'Model inputs'!F280*'Model inputs'!AB285</f>
        <v>13.610418500000002</v>
      </c>
      <c r="G253" s="14">
        <f>'Model inputs'!G280*'Model inputs'!AB285</f>
        <v>17.701297575</v>
      </c>
      <c r="H253" s="14">
        <f>'Model inputs'!H280*'Model inputs'!AB285</f>
        <v>21.587632696250004</v>
      </c>
      <c r="I253" s="14">
        <f>'Model inputs'!I280*'Model inputs'!AB285</f>
        <v>25.2796510614375</v>
      </c>
      <c r="J253" s="14">
        <f>'Model inputs'!J280*'Model inputs'!AB285</f>
        <v>28.78706850836563</v>
      </c>
      <c r="K253" s="14">
        <f>'Model inputs'!K280*'Model inputs'!AB285</f>
        <v>32.119115082947346</v>
      </c>
      <c r="L253" s="14">
        <f>'Model inputs'!L280*'Model inputs'!AB285</f>
        <v>35.28455932879998</v>
      </c>
      <c r="M253" s="14">
        <f>'Model inputs'!M280*'Model inputs'!AB285</f>
        <v>38.29173136235998</v>
      </c>
      <c r="N253" s="14">
        <f>'Model inputs'!N280*'Model inputs'!AB285</f>
        <v>41.14854479424198</v>
      </c>
      <c r="O253" s="14">
        <f>'Model inputs'!O280*'Model inputs'!AB285</f>
        <v>43.86251755452989</v>
      </c>
      <c r="P253" s="14">
        <f>'Model inputs'!P280*'Model inputs'!AB285</f>
        <v>46.44079167680339</v>
      </c>
      <c r="Q253" s="14">
        <f>'Model inputs'!Q280*'Model inputs'!AB285</f>
        <v>48.89015209296322</v>
      </c>
      <c r="R253" s="14">
        <f>'Model inputs'!R280*'Model inputs'!AB285</f>
        <v>51.21704448831507</v>
      </c>
      <c r="S253" s="14">
        <f>'Model inputs'!S280*'Model inputs'!AB285</f>
        <v>53.42759226389931</v>
      </c>
      <c r="T253" s="14">
        <f>'Model inputs'!T280*'Model inputs'!AB285</f>
        <v>55.52761265070434</v>
      </c>
      <c r="U253" s="14">
        <f>'Model inputs'!U280*'Model inputs'!AB285</f>
        <v>57.522632018169126</v>
      </c>
      <c r="V253" s="14">
        <f>'Model inputs'!V280*'Model inputs'!AB285</f>
        <v>59.41790041726067</v>
      </c>
      <c r="W253" s="14">
        <f>'Model inputs'!W280*'Model inputs'!AB285</f>
        <v>61.218405396397635</v>
      </c>
      <c r="X253" s="14">
        <f>'Model inputs'!X280*'Model inputs'!AB285</f>
        <v>62.92888512657776</v>
      </c>
      <c r="Y253" s="14">
        <f>'Model inputs'!Y280*'Model inputs'!AB285</f>
        <v>64.55384087024888</v>
      </c>
      <c r="Z253" s="14">
        <f>'Model inputs'!Z280*'Model inputs'!AB285</f>
        <v>66.09754882673644</v>
      </c>
      <c r="AA253" s="14">
        <f>'Model inputs'!AA280*'Model inputs'!AB285</f>
        <v>67.56407138539961</v>
      </c>
      <c r="AD253" s="14">
        <f>'Model inputs'!AD280*'Model inputs'!AB285</f>
        <v>0</v>
      </c>
      <c r="AE253" s="14">
        <f>'Model inputs'!AE280*'Model inputs'!AB285</f>
        <v>0</v>
      </c>
      <c r="AF253" s="14">
        <f>'Model inputs'!AF280*'Model inputs'!AB285</f>
        <v>0</v>
      </c>
      <c r="AG253" s="14">
        <f>'Model inputs'!AG280*'Model inputs'!AB285</f>
        <v>0</v>
      </c>
      <c r="AH253" s="14">
        <f>'Model inputs'!AH280*'Model inputs'!AB285</f>
        <v>0</v>
      </c>
      <c r="AI253" s="14">
        <f>'Model inputs'!AI280*'Model inputs'!AB285</f>
        <v>0</v>
      </c>
      <c r="AJ253" s="14">
        <f>'Model inputs'!AJ280*'Model inputs'!AB285</f>
        <v>0</v>
      </c>
      <c r="AK253" s="14">
        <f>'Model inputs'!AK280*'Model inputs'!AB285</f>
        <v>0</v>
      </c>
    </row>
    <row r="254">
      <c r="A254" t="inlineStr" s="23">
        <is>
          <t xml:space="preserve">Run delivery costs</t>
        </is>
      </c>
      <c r="B254" s="11">
        <f>SUM('Model inputs'!B255,'Model inputs'!B256,'Model inputs'!B257)</f>
        <v>0</v>
      </c>
      <c r="C254" s="11">
        <f>SUM('Model inputs'!C255,'Model inputs'!C256,'Model inputs'!C257)</f>
        <v>0</v>
      </c>
      <c r="D254" s="11">
        <f>SUM('Model inputs'!D255,'Model inputs'!D256,'Model inputs'!D257)</f>
        <v>37.21692</v>
      </c>
      <c r="E254" s="11">
        <f>SUM('Model inputs'!E255,'Model inputs'!E256,'Model inputs'!E257)</f>
        <v>76.6668552</v>
      </c>
      <c r="F254" s="11">
        <f>SUM('Model inputs'!F255,'Model inputs'!F256,'Model inputs'!F257)</f>
        <v>118.54333358400001</v>
      </c>
      <c r="G254" s="11">
        <f>SUM('Model inputs'!G255,'Model inputs'!G256,'Model inputs'!G257)</f>
        <v>163.05506763936</v>
      </c>
      <c r="H254" s="11">
        <f>SUM('Model inputs'!H255,'Model inputs'!H256,'Model inputs'!H257)</f>
        <v>210.42717507177605</v>
      </c>
      <c r="I254" s="11">
        <f>SUM('Model inputs'!I255,'Model inputs'!I256,'Model inputs'!I257)</f>
        <v>260.90249705836004</v>
      </c>
      <c r="J254" s="11">
        <f>SUM('Model inputs'!J255,'Model inputs'!J256,'Model inputs'!J257)</f>
        <v>314.74302184425386</v>
      </c>
      <c r="K254" s="11">
        <f>SUM('Model inputs'!K255,'Model inputs'!K256,'Model inputs'!K257)</f>
        <v>372.2314221125947</v>
      </c>
      <c r="L254" s="11">
        <f>SUM('Model inputs'!L255,'Model inputs'!L256,'Model inputs'!L257)</f>
        <v>433.6727152319868</v>
      </c>
      <c r="M254" s="11">
        <f>SUM('Model inputs'!M255,'Model inputs'!M256,'Model inputs'!M257)</f>
        <v>499.39605621392263</v>
      </c>
      <c r="N254" s="11">
        <f>SUM('Model inputs'!N255,'Model inputs'!N256,'Model inputs'!N257)</f>
        <v>569.7566739991457</v>
      </c>
      <c r="O254" s="11">
        <f>SUM('Model inputs'!O255,'Model inputs'!O256,'Model inputs'!O257)</f>
        <v>645.1379625414245</v>
      </c>
      <c r="P254" s="11">
        <f>SUM('Model inputs'!P255,'Model inputs'!P256,'Model inputs'!P257)</f>
        <v>725.9537390746387</v>
      </c>
      <c r="Q254" s="11">
        <f>SUM('Model inputs'!Q255,'Model inputs'!Q256,'Model inputs'!Q257)</f>
        <v>812.650682939912</v>
      </c>
      <c r="R254" s="11">
        <f>SUM('Model inputs'!R255,'Model inputs'!R256,'Model inputs'!R257)</f>
        <v>905.7109694196213</v>
      </c>
      <c r="S254" s="11">
        <f>SUM('Model inputs'!S255,'Model inputs'!S256,'Model inputs'!S257)</f>
        <v>1005.6551141808168</v>
      </c>
      <c r="T254" s="11">
        <f>SUM('Model inputs'!T255,'Model inputs'!T256,'Model inputs'!T257)</f>
        <v>1113.0450451787556</v>
      </c>
      <c r="U254" s="11">
        <f>SUM('Model inputs'!U255,'Model inputs'!U256,'Model inputs'!U257)</f>
        <v>1228.4874202192598</v>
      </c>
      <c r="V254" s="11">
        <f>SUM('Model inputs'!V255,'Model inputs'!V256,'Model inputs'!V257)</f>
        <v>1352.6372098344802</v>
      </c>
      <c r="W254" s="11">
        <f>SUM('Model inputs'!W255,'Model inputs'!W256,'Model inputs'!W257)</f>
        <v>1486.201566698965</v>
      </c>
      <c r="X254" s="11">
        <f>SUM('Model inputs'!X255,'Model inputs'!X256,'Model inputs'!X257)</f>
        <v>1629.9440045110537</v>
      </c>
      <c r="Y254" s="11">
        <f>SUM('Model inputs'!Y255,'Model inputs'!Y256,'Model inputs'!Y257)</f>
        <v>1784.6889110985865</v>
      </c>
      <c r="Z254" s="11">
        <f>SUM('Model inputs'!Z255,'Model inputs'!Z256,'Model inputs'!Z257)</f>
        <v>1951.3264224885888</v>
      </c>
      <c r="AA254" s="11">
        <f>SUM('Model inputs'!AA255,'Model inputs'!AA256,'Model inputs'!AA257)</f>
        <v>2130.817686819749</v>
      </c>
      <c r="AD254" s="11">
        <f>SUM('Model inputs'!AD255,'Model inputs'!AD256,'Model inputs'!AD257)</f>
        <v>0</v>
      </c>
      <c r="AE254" s="11">
        <f>SUM('Model inputs'!AE255,'Model inputs'!AE256,'Model inputs'!AE257)</f>
        <v>0</v>
      </c>
      <c r="AF254" s="11">
        <f>SUM('Model inputs'!AF255,'Model inputs'!AF256,'Model inputs'!AF257)</f>
        <v>0</v>
      </c>
      <c r="AG254" s="11">
        <f>SUM('Model inputs'!AG255,'Model inputs'!AG256,'Model inputs'!AG257)</f>
        <v>0</v>
      </c>
      <c r="AH254" s="11">
        <f>SUM('Model inputs'!AH255,'Model inputs'!AH256,'Model inputs'!AH257)</f>
        <v>0</v>
      </c>
      <c r="AI254" s="11">
        <f>SUM('Model inputs'!AI255,'Model inputs'!AI256,'Model inputs'!AI257)</f>
        <v>0</v>
      </c>
      <c r="AJ254" s="11">
        <f>SUM('Model inputs'!AJ255,'Model inputs'!AJ256,'Model inputs'!AJ257)</f>
        <v>0</v>
      </c>
      <c r="AK254" s="11">
        <f>SUM('Model inputs'!AK255,'Model inputs'!AK256,'Model inputs'!AK257)</f>
        <v>0</v>
      </c>
    </row>
    <row r="255" outlineLevel="1">
      <c r="A255" t="inlineStr" s="24">
        <is>
          <t xml:space="preserve">Run delivery costs &gt; Agency</t>
        </is>
      </c>
      <c r="B255" s="14">
        <f>'Model inputs'!B282*'Model inputs'!AB286</f>
        <v>0</v>
      </c>
      <c r="C255" s="14">
        <f>'Model inputs'!C282*'Model inputs'!AB286</f>
        <v>0</v>
      </c>
      <c r="D255" s="14">
        <f>'Model inputs'!D282*'Model inputs'!AB286</f>
        <v>19.0856</v>
      </c>
      <c r="E255" s="14">
        <f>'Model inputs'!E282*'Model inputs'!AB286</f>
        <v>39.316336</v>
      </c>
      <c r="F255" s="14">
        <f>'Model inputs'!F282*'Model inputs'!AB286</f>
        <v>60.79145312</v>
      </c>
      <c r="G255" s="14">
        <f>'Model inputs'!G282*'Model inputs'!AB286</f>
        <v>83.6179834048</v>
      </c>
      <c r="H255" s="14">
        <f>'Model inputs'!H282*'Model inputs'!AB286</f>
        <v>107.91137183168003</v>
      </c>
      <c r="I255" s="14">
        <f>'Model inputs'!I282*'Model inputs'!AB286</f>
        <v>133.79615233762053</v>
      </c>
      <c r="J255" s="14">
        <f>'Model inputs'!J282*'Model inputs'!AB286</f>
        <v>161.4066778688481</v>
      </c>
      <c r="K255" s="14">
        <f>'Model inputs'!K282*'Model inputs'!AB286</f>
        <v>190.8879087756896</v>
      </c>
      <c r="L255" s="14">
        <f>'Model inputs'!L282*'Model inputs'!AB286</f>
        <v>222.39626422153168</v>
      </c>
      <c r="M255" s="14">
        <f>'Model inputs'!M282*'Model inputs'!AB286</f>
        <v>256.10054164816546</v>
      </c>
      <c r="N255" s="14">
        <f>'Model inputs'!N282*'Model inputs'!AB286</f>
        <v>292.18290974315164</v>
      </c>
      <c r="O255" s="14">
        <f>'Model inputs'!O282*'Model inputs'!AB286</f>
        <v>330.8399807904741</v>
      </c>
      <c r="P255" s="14">
        <f>'Model inputs'!P282*'Model inputs'!AB286</f>
        <v>372.28396875622497</v>
      </c>
      <c r="Q255" s="14">
        <f>'Model inputs'!Q282*'Model inputs'!AB286</f>
        <v>416.74393996918565</v>
      </c>
      <c r="R255" s="14">
        <f>'Model inputs'!R282*'Model inputs'!AB286</f>
        <v>464.46716380493393</v>
      </c>
      <c r="S255" s="14">
        <f>'Model inputs'!S282*'Model inputs'!AB286</f>
        <v>515.7205713747778</v>
      </c>
      <c r="T255" s="14">
        <f>'Model inputs'!T282*'Model inputs'!AB286</f>
        <v>570.7923308609003</v>
      </c>
      <c r="U255" s="14">
        <f>'Model inputs'!U282*'Model inputs'!AB286</f>
        <v>629.9935488303896</v>
      </c>
      <c r="V255" s="14">
        <f>'Model inputs'!V282*'Model inputs'!AB286</f>
        <v>693.6601076074256</v>
      </c>
      <c r="W255" s="14">
        <f>'Model inputs'!W282*'Model inputs'!AB286</f>
        <v>762.1546495892128</v>
      </c>
      <c r="X255" s="14">
        <f>'Model inputs'!X282*'Model inputs'!AB286</f>
        <v>835.8687202620788</v>
      </c>
      <c r="Y255" s="14">
        <f>'Model inputs'!Y282*'Model inputs'!AB286</f>
        <v>915.2250826146596</v>
      </c>
      <c r="Z255" s="14">
        <f>'Model inputs'!Z282*'Model inputs'!AB286</f>
        <v>1000.6802166608145</v>
      </c>
      <c r="AA255" s="14">
        <f>'Model inputs'!AA282*'Model inputs'!AB286</f>
        <v>1092.7270188819223</v>
      </c>
      <c r="AD255" s="14">
        <f>'Model inputs'!AD282*'Model inputs'!AB286</f>
        <v>0</v>
      </c>
      <c r="AE255" s="14">
        <f>'Model inputs'!AE282*'Model inputs'!AB286</f>
        <v>0</v>
      </c>
      <c r="AF255" s="14">
        <f>'Model inputs'!AF282*'Model inputs'!AB286</f>
        <v>0</v>
      </c>
      <c r="AG255" s="14">
        <f>'Model inputs'!AG282*'Model inputs'!AB286</f>
        <v>0</v>
      </c>
      <c r="AH255" s="14">
        <f>'Model inputs'!AH282*'Model inputs'!AB286</f>
        <v>0</v>
      </c>
      <c r="AI255" s="14">
        <f>'Model inputs'!AI282*'Model inputs'!AB286</f>
        <v>0</v>
      </c>
      <c r="AJ255" s="14">
        <f>'Model inputs'!AJ282*'Model inputs'!AB286</f>
        <v>0</v>
      </c>
      <c r="AK255" s="14">
        <f>'Model inputs'!AK282*'Model inputs'!AB286</f>
        <v>0</v>
      </c>
    </row>
    <row r="256" outlineLevel="1">
      <c r="A256" t="inlineStr" s="24">
        <is>
          <t xml:space="preserve">Run delivery costs &gt; Developer</t>
        </is>
      </c>
      <c r="B256" s="14">
        <f>'Model inputs'!B283*'Model inputs'!AB286</f>
        <v>0</v>
      </c>
      <c r="C256" s="14">
        <f>'Model inputs'!C283*'Model inputs'!AB286</f>
        <v>0</v>
      </c>
      <c r="D256" s="14">
        <f>'Model inputs'!D283*'Model inputs'!AB286</f>
        <v>3.81712</v>
      </c>
      <c r="E256" s="14">
        <f>'Model inputs'!E283*'Model inputs'!AB286</f>
        <v>7.8632672</v>
      </c>
      <c r="F256" s="14">
        <f>'Model inputs'!F283*'Model inputs'!AB286</f>
        <v>12.158290624</v>
      </c>
      <c r="G256" s="14">
        <f>'Model inputs'!G283*'Model inputs'!AB286</f>
        <v>16.72359668096</v>
      </c>
      <c r="H256" s="14">
        <f>'Model inputs'!H283*'Model inputs'!AB286</f>
        <v>21.582274366336</v>
      </c>
      <c r="I256" s="14">
        <f>'Model inputs'!I283*'Model inputs'!AB286</f>
        <v>26.7592304675241</v>
      </c>
      <c r="J256" s="14">
        <f>'Model inputs'!J283*'Model inputs'!AB286</f>
        <v>32.281335573769624</v>
      </c>
      <c r="K256" s="14">
        <f>'Model inputs'!K283*'Model inputs'!AB286</f>
        <v>38.177581755137915</v>
      </c>
      <c r="L256" s="14">
        <f>'Model inputs'!L283*'Model inputs'!AB286</f>
        <v>44.47925284430634</v>
      </c>
      <c r="M256" s="14">
        <f>'Model inputs'!M283*'Model inputs'!AB286</f>
        <v>51.220108329633085</v>
      </c>
      <c r="N256" s="14">
        <f>'Model inputs'!N283*'Model inputs'!AB286</f>
        <v>58.436581948630334</v>
      </c>
      <c r="O256" s="14">
        <f>'Model inputs'!O283*'Model inputs'!AB286</f>
        <v>66.16799615809482</v>
      </c>
      <c r="P256" s="14">
        <f>'Model inputs'!P283*'Model inputs'!AB286</f>
        <v>74.456793751245</v>
      </c>
      <c r="Q256" s="14">
        <f>'Model inputs'!Q283*'Model inputs'!AB286</f>
        <v>83.34878799383713</v>
      </c>
      <c r="R256" s="14">
        <f>'Model inputs'!R283*'Model inputs'!AB286</f>
        <v>92.8934327609868</v>
      </c>
      <c r="S256" s="14">
        <f>'Model inputs'!S283*'Model inputs'!AB286</f>
        <v>103.14411427495556</v>
      </c>
      <c r="T256" s="14">
        <f>'Model inputs'!T283*'Model inputs'!AB286</f>
        <v>114.15846617218004</v>
      </c>
      <c r="U256" s="14">
        <f>'Model inputs'!U283*'Model inputs'!AB286</f>
        <v>125.99870976607792</v>
      </c>
      <c r="V256" s="14">
        <f>'Model inputs'!V283*'Model inputs'!AB286</f>
        <v>138.73202152148514</v>
      </c>
      <c r="W256" s="14">
        <f>'Model inputs'!W283*'Model inputs'!AB286</f>
        <v>152.43092991784255</v>
      </c>
      <c r="X256" s="14">
        <f>'Model inputs'!X283*'Model inputs'!AB286</f>
        <v>167.17374405241574</v>
      </c>
      <c r="Y256" s="14">
        <f>'Model inputs'!Y283*'Model inputs'!AB286</f>
        <v>183.0450165229319</v>
      </c>
      <c r="Z256" s="14">
        <f>'Model inputs'!Z283*'Model inputs'!AB286</f>
        <v>200.13604333216293</v>
      </c>
      <c r="AA256" s="14">
        <f>'Model inputs'!AA283*'Model inputs'!AB286</f>
        <v>218.54540377638446</v>
      </c>
      <c r="AD256" s="14">
        <f>'Model inputs'!AD283*'Model inputs'!AB286</f>
        <v>0</v>
      </c>
      <c r="AE256" s="14">
        <f>'Model inputs'!AE283*'Model inputs'!AB286</f>
        <v>0</v>
      </c>
      <c r="AF256" s="14">
        <f>'Model inputs'!AF283*'Model inputs'!AB286</f>
        <v>0</v>
      </c>
      <c r="AG256" s="14">
        <f>'Model inputs'!AG283*'Model inputs'!AB286</f>
        <v>0</v>
      </c>
      <c r="AH256" s="14">
        <f>'Model inputs'!AH283*'Model inputs'!AB286</f>
        <v>0</v>
      </c>
      <c r="AI256" s="14">
        <f>'Model inputs'!AI283*'Model inputs'!AB286</f>
        <v>0</v>
      </c>
      <c r="AJ256" s="14">
        <f>'Model inputs'!AJ283*'Model inputs'!AB286</f>
        <v>0</v>
      </c>
      <c r="AK256" s="14">
        <f>'Model inputs'!AK283*'Model inputs'!AB286</f>
        <v>0</v>
      </c>
    </row>
    <row r="257" outlineLevel="1">
      <c r="A257" t="inlineStr" s="24">
        <is>
          <t xml:space="preserve">Run delivery costs &gt; Team</t>
        </is>
      </c>
      <c r="B257" s="14">
        <f>'Model inputs'!B284*'Model inputs'!AB286</f>
        <v>0</v>
      </c>
      <c r="C257" s="14">
        <f>'Model inputs'!C284*'Model inputs'!AB286</f>
        <v>0</v>
      </c>
      <c r="D257" s="14">
        <f>'Model inputs'!D284*'Model inputs'!AB286</f>
        <v>14.314200000000001</v>
      </c>
      <c r="E257" s="14">
        <f>'Model inputs'!E284*'Model inputs'!AB286</f>
        <v>29.487252000000005</v>
      </c>
      <c r="F257" s="14">
        <f>'Model inputs'!F284*'Model inputs'!AB286</f>
        <v>45.593589840000014</v>
      </c>
      <c r="G257" s="14">
        <f>'Model inputs'!G284*'Model inputs'!AB286</f>
        <v>62.71348755360002</v>
      </c>
      <c r="H257" s="14">
        <f>'Model inputs'!H284*'Model inputs'!AB286</f>
        <v>80.93352887376003</v>
      </c>
      <c r="I257" s="14">
        <f>'Model inputs'!I284*'Model inputs'!AB286</f>
        <v>100.3471142532154</v>
      </c>
      <c r="J257" s="14">
        <f>'Model inputs'!J284*'Model inputs'!AB286</f>
        <v>121.05500840163612</v>
      </c>
      <c r="K257" s="14">
        <f>'Model inputs'!K284*'Model inputs'!AB286</f>
        <v>143.1659315817672</v>
      </c>
      <c r="L257" s="14">
        <f>'Model inputs'!L284*'Model inputs'!AB286</f>
        <v>166.7971981661488</v>
      </c>
      <c r="M257" s="14">
        <f>'Model inputs'!M284*'Model inputs'!AB286</f>
        <v>192.0754062361241</v>
      </c>
      <c r="N257" s="14">
        <f>'Model inputs'!N284*'Model inputs'!AB286</f>
        <v>219.13718230736382</v>
      </c>
      <c r="O257" s="14">
        <f>'Model inputs'!O284*'Model inputs'!AB286</f>
        <v>248.12998559285563</v>
      </c>
      <c r="P257" s="14">
        <f>'Model inputs'!P284*'Model inputs'!AB286</f>
        <v>279.21297656716877</v>
      </c>
      <c r="Q257" s="14">
        <f>'Model inputs'!Q284*'Model inputs'!AB286</f>
        <v>312.5579549768892</v>
      </c>
      <c r="R257" s="14">
        <f>'Model inputs'!R284*'Model inputs'!AB286</f>
        <v>348.3503728537005</v>
      </c>
      <c r="S257" s="14">
        <f>'Model inputs'!S284*'Model inputs'!AB286</f>
        <v>386.7904285310834</v>
      </c>
      <c r="T257" s="14">
        <f>'Model inputs'!T284*'Model inputs'!AB286</f>
        <v>428.0942481456752</v>
      </c>
      <c r="U257" s="14">
        <f>'Model inputs'!U284*'Model inputs'!AB286</f>
        <v>472.49516162279224</v>
      </c>
      <c r="V257" s="14">
        <f>'Model inputs'!V284*'Model inputs'!AB286</f>
        <v>520.2450807055694</v>
      </c>
      <c r="W257" s="14">
        <f>'Model inputs'!W284*'Model inputs'!AB286</f>
        <v>571.6159871919097</v>
      </c>
      <c r="X257" s="14">
        <f>'Model inputs'!X284*'Model inputs'!AB286</f>
        <v>626.9015401965593</v>
      </c>
      <c r="Y257" s="14">
        <f>'Model inputs'!Y284*'Model inputs'!AB286</f>
        <v>686.418811960995</v>
      </c>
      <c r="Z257" s="14">
        <f>'Model inputs'!Z284*'Model inputs'!AB286</f>
        <v>750.5101624956113</v>
      </c>
      <c r="AA257" s="14">
        <f>'Model inputs'!AA284*'Model inputs'!AB286</f>
        <v>819.5452641614421</v>
      </c>
      <c r="AD257" s="14">
        <f>'Model inputs'!AD284*'Model inputs'!AB286</f>
        <v>0</v>
      </c>
      <c r="AE257" s="14">
        <f>'Model inputs'!AE284*'Model inputs'!AB286</f>
        <v>0</v>
      </c>
      <c r="AF257" s="14">
        <f>'Model inputs'!AF284*'Model inputs'!AB286</f>
        <v>0</v>
      </c>
      <c r="AG257" s="14">
        <f>'Model inputs'!AG284*'Model inputs'!AB286</f>
        <v>0</v>
      </c>
      <c r="AH257" s="14">
        <f>'Model inputs'!AH284*'Model inputs'!AB286</f>
        <v>0</v>
      </c>
      <c r="AI257" s="14">
        <f>'Model inputs'!AI284*'Model inputs'!AB286</f>
        <v>0</v>
      </c>
      <c r="AJ257" s="14">
        <f>'Model inputs'!AJ284*'Model inputs'!AB286</f>
        <v>0</v>
      </c>
      <c r="AK257" s="14">
        <f>'Model inputs'!AK284*'Model inputs'!AB286</f>
        <v>0</v>
      </c>
    </row>
    <row r="258">
      <c r="A258" t="inlineStr" s="23">
        <is>
          <t xml:space="preserve">Sales budget per month · Fixed monthly cost · Main Scenario · Main Scenario</t>
        </is>
      </c>
      <c r="AB258" s="14">
        <f>'CheckoutGuard — Assumptions · C'!B25</f>
        <v>500</v>
      </c>
    </row>
    <row r="259">
      <c r="A259" t="inlineStr" s="23">
        <is>
          <t xml:space="preserve">Sales budget per month · Fixed monthly cost · CheckoutGuard — Conservative · CheckoutGuard — Conservative</t>
        </is>
      </c>
      <c r="AB259" s="14">
        <f>'CheckoutGuard — Assumptions · C'!B25</f>
        <v>500</v>
      </c>
    </row>
    <row r="260">
      <c r="A260" t="inlineStr" s="23">
        <is>
          <t xml:space="preserve">Sales budget per month · Fixed monthly cost · CheckoutGuard — Growth · CheckoutGuard — Growth</t>
        </is>
      </c>
      <c r="AB260" s="14">
        <f>'CheckoutGuard — Assumptions · C'!B25</f>
        <v>500</v>
      </c>
    </row>
    <row r="261">
      <c r="A261" t="inlineStr" s="23">
        <is>
          <t xml:space="preserve">Workspace support costs</t>
        </is>
      </c>
      <c r="B261" s="11">
        <f>SUM('Model inputs'!B262,'Model inputs'!B263,'Model inputs'!B264)</f>
        <v>0</v>
      </c>
      <c r="C261" s="11">
        <f>SUM('Model inputs'!C262,'Model inputs'!C263,'Model inputs'!C264)</f>
        <v>0</v>
      </c>
      <c r="D261" s="11">
        <f>SUM('Model inputs'!D262,'Model inputs'!D263,'Model inputs'!D264)</f>
        <v>25</v>
      </c>
      <c r="E261" s="11">
        <f>SUM('Model inputs'!E262,'Model inputs'!E263,'Model inputs'!E264)</f>
        <v>48.75</v>
      </c>
      <c r="F261" s="11">
        <f>SUM('Model inputs'!F262,'Model inputs'!F263,'Model inputs'!F264)</f>
        <v>71.3125</v>
      </c>
      <c r="G261" s="11">
        <f>SUM('Model inputs'!G262,'Model inputs'!G263,'Model inputs'!G264)</f>
        <v>92.746875</v>
      </c>
      <c r="H261" s="11">
        <f>SUM('Model inputs'!H262,'Model inputs'!H263,'Model inputs'!H264)</f>
        <v>113.10953125</v>
      </c>
      <c r="I261" s="11">
        <f>SUM('Model inputs'!I262,'Model inputs'!I263,'Model inputs'!I264)</f>
        <v>132.4540546875</v>
      </c>
      <c r="J261" s="11">
        <f>SUM('Model inputs'!J262,'Model inputs'!J263,'Model inputs'!J264)</f>
        <v>150.831351953125</v>
      </c>
      <c r="K261" s="11">
        <f>SUM('Model inputs'!K262,'Model inputs'!K263,'Model inputs'!K264)</f>
        <v>168.28978435546875</v>
      </c>
      <c r="L261" s="11">
        <f>SUM('Model inputs'!L262,'Model inputs'!L263,'Model inputs'!L264)</f>
        <v>184.8752951376953</v>
      </c>
      <c r="M261" s="11">
        <f>SUM('Model inputs'!M262,'Model inputs'!M263,'Model inputs'!M264)</f>
        <v>200.63153038081057</v>
      </c>
      <c r="N261" s="11">
        <f>SUM('Model inputs'!N262,'Model inputs'!N263,'Model inputs'!N264)</f>
        <v>215.59995386177002</v>
      </c>
      <c r="O261" s="11">
        <f>SUM('Model inputs'!O262,'Model inputs'!O263,'Model inputs'!O264)</f>
        <v>229.81995616868153</v>
      </c>
      <c r="P261" s="11">
        <f>SUM('Model inputs'!P262,'Model inputs'!P263,'Model inputs'!P264)</f>
        <v>243.3289583602475</v>
      </c>
      <c r="Q261" s="11">
        <f>SUM('Model inputs'!Q262,'Model inputs'!Q263,'Model inputs'!Q264)</f>
        <v>256.1625104422351</v>
      </c>
      <c r="R261" s="11">
        <f>SUM('Model inputs'!R262,'Model inputs'!R263,'Model inputs'!R264)</f>
        <v>268.3543849201234</v>
      </c>
      <c r="S261" s="11">
        <f>SUM('Model inputs'!S262,'Model inputs'!S263,'Model inputs'!S264)</f>
        <v>279.9366656741172</v>
      </c>
      <c r="T261" s="11">
        <f>SUM('Model inputs'!T262,'Model inputs'!T263,'Model inputs'!T264)</f>
        <v>290.9398323904113</v>
      </c>
      <c r="U261" s="11">
        <f>SUM('Model inputs'!U262,'Model inputs'!U263,'Model inputs'!U264)</f>
        <v>301.39284077089076</v>
      </c>
      <c r="V261" s="11">
        <f>SUM('Model inputs'!V262,'Model inputs'!V263,'Model inputs'!V264)</f>
        <v>311.3231987323462</v>
      </c>
      <c r="W261" s="11">
        <f>SUM('Model inputs'!W262,'Model inputs'!W263,'Model inputs'!W264)</f>
        <v>320.7570387957289</v>
      </c>
      <c r="X261" s="11">
        <f>SUM('Model inputs'!X262,'Model inputs'!X263,'Model inputs'!X264)</f>
        <v>329.71918685594244</v>
      </c>
      <c r="Y261" s="11">
        <f>SUM('Model inputs'!Y262,'Model inputs'!Y263,'Model inputs'!Y264)</f>
        <v>338.2332275131454</v>
      </c>
      <c r="Z261" s="11">
        <f>SUM('Model inputs'!Z262,'Model inputs'!Z263,'Model inputs'!Z264)</f>
        <v>346.3215661374881</v>
      </c>
      <c r="AA261" s="11">
        <f>SUM('Model inputs'!AA262,'Model inputs'!AA263,'Model inputs'!AA264)</f>
        <v>354.0054878306137</v>
      </c>
      <c r="AD261" s="11">
        <f>SUM('Model inputs'!AD262,'Model inputs'!AD263,'Model inputs'!AD264)</f>
        <v>0</v>
      </c>
      <c r="AE261" s="11">
        <f>SUM('Model inputs'!AE262,'Model inputs'!AE263,'Model inputs'!AE264)</f>
        <v>0</v>
      </c>
      <c r="AF261" s="11">
        <f>SUM('Model inputs'!AF262,'Model inputs'!AF263,'Model inputs'!AF264)</f>
        <v>0</v>
      </c>
      <c r="AG261" s="11">
        <f>SUM('Model inputs'!AG262,'Model inputs'!AG263,'Model inputs'!AG264)</f>
        <v>0</v>
      </c>
      <c r="AH261" s="11">
        <f>SUM('Model inputs'!AH262,'Model inputs'!AH263,'Model inputs'!AH264)</f>
        <v>0</v>
      </c>
      <c r="AI261" s="11">
        <f>SUM('Model inputs'!AI262,'Model inputs'!AI263,'Model inputs'!AI264)</f>
        <v>0</v>
      </c>
      <c r="AJ261" s="11">
        <f>SUM('Model inputs'!AJ262,'Model inputs'!AJ263,'Model inputs'!AJ264)</f>
        <v>0</v>
      </c>
      <c r="AK261" s="11">
        <f>SUM('Model inputs'!AK262,'Model inputs'!AK263,'Model inputs'!AK264)</f>
        <v>0</v>
      </c>
    </row>
    <row r="262" outlineLevel="1">
      <c r="A262" t="inlineStr" s="24">
        <is>
          <t xml:space="preserve">Workspace support costs &gt; Agency</t>
        </is>
      </c>
      <c r="B262" s="14">
        <f>'Model inputs'!B11*'Model inputs'!AB331/60*'Model inputs'!AB328</f>
        <v>0</v>
      </c>
      <c r="C262" s="14">
        <f>'Model inputs'!C11*'Model inputs'!AB331/60*'Model inputs'!AB328</f>
        <v>0</v>
      </c>
      <c r="D262" s="14">
        <f>'Model inputs'!D11*'Model inputs'!AB331/60*'Model inputs'!AB328</f>
        <v>7.5</v>
      </c>
      <c r="E262" s="14">
        <f>'Model inputs'!E11*'Model inputs'!AB331/60*'Model inputs'!AB328</f>
        <v>14.625</v>
      </c>
      <c r="F262" s="14">
        <f>'Model inputs'!F11*'Model inputs'!AB331/60*'Model inputs'!AB328</f>
        <v>21.39375</v>
      </c>
      <c r="G262" s="14">
        <f>'Model inputs'!G11*'Model inputs'!AB331/60*'Model inputs'!AB328</f>
        <v>27.824062500000004</v>
      </c>
      <c r="H262" s="14">
        <f>'Model inputs'!H11*'Model inputs'!AB331/60*'Model inputs'!AB328</f>
        <v>33.932859375</v>
      </c>
      <c r="I262" s="14">
        <f>'Model inputs'!I11*'Model inputs'!AB331/60*'Model inputs'!AB328</f>
        <v>39.73621640625</v>
      </c>
      <c r="J262" s="14">
        <f>'Model inputs'!J11*'Model inputs'!AB331/60*'Model inputs'!AB328</f>
        <v>45.2494055859375</v>
      </c>
      <c r="K262" s="14">
        <f>'Model inputs'!K11*'Model inputs'!AB331/60*'Model inputs'!AB328</f>
        <v>50.486935306640625</v>
      </c>
      <c r="L262" s="14">
        <f>'Model inputs'!L11*'Model inputs'!AB331/60*'Model inputs'!AB328</f>
        <v>55.4625885413086</v>
      </c>
      <c r="M262" s="14">
        <f>'Model inputs'!M11*'Model inputs'!AB331/60*'Model inputs'!AB328</f>
        <v>60.18945911424317</v>
      </c>
      <c r="N262" s="14">
        <f>'Model inputs'!N11*'Model inputs'!AB331/60*'Model inputs'!AB328</f>
        <v>64.67998615853101</v>
      </c>
      <c r="O262" s="14">
        <f>'Model inputs'!O11*'Model inputs'!AB331/60*'Model inputs'!AB328</f>
        <v>68.94598685060446</v>
      </c>
      <c r="P262" s="14">
        <f>'Model inputs'!P11*'Model inputs'!AB331/60*'Model inputs'!AB328</f>
        <v>72.99868750807424</v>
      </c>
      <c r="Q262" s="14">
        <f>'Model inputs'!Q11*'Model inputs'!AB331/60*'Model inputs'!AB328</f>
        <v>76.84875313267054</v>
      </c>
      <c r="R262" s="14">
        <f>'Model inputs'!R11*'Model inputs'!AB331/60*'Model inputs'!AB328</f>
        <v>80.506315476037</v>
      </c>
      <c r="S262" s="14">
        <f>'Model inputs'!S11*'Model inputs'!AB331/60*'Model inputs'!AB328</f>
        <v>83.98099970223515</v>
      </c>
      <c r="T262" s="14">
        <f>'Model inputs'!T11*'Model inputs'!AB331/60*'Model inputs'!AB328</f>
        <v>87.2819497171234</v>
      </c>
      <c r="U262" s="14">
        <f>'Model inputs'!U11*'Model inputs'!AB331/60*'Model inputs'!AB328</f>
        <v>90.41785223126722</v>
      </c>
      <c r="V262" s="14">
        <f>'Model inputs'!V11*'Model inputs'!AB331/60*'Model inputs'!AB328</f>
        <v>93.39695961970386</v>
      </c>
      <c r="W262" s="14">
        <f>'Model inputs'!W11*'Model inputs'!AB331/60*'Model inputs'!AB328</f>
        <v>96.22711163871867</v>
      </c>
      <c r="X262" s="14">
        <f>'Model inputs'!X11*'Model inputs'!AB331/60*'Model inputs'!AB328</f>
        <v>98.91575605678274</v>
      </c>
      <c r="Y262" s="14">
        <f>'Model inputs'!Y11*'Model inputs'!AB331/60*'Model inputs'!AB328</f>
        <v>101.4699682539436</v>
      </c>
      <c r="Z262" s="14">
        <f>'Model inputs'!Z11*'Model inputs'!AB331/60*'Model inputs'!AB328</f>
        <v>103.89646984124643</v>
      </c>
      <c r="AA262" s="14">
        <f>'Model inputs'!AA11*'Model inputs'!AB331/60*'Model inputs'!AB328</f>
        <v>106.2016463491841</v>
      </c>
      <c r="AD262" s="14">
        <f>'Model inputs'!AD177*'Model inputs'!AB331/60*'Model inputs'!AB328</f>
        <v>0</v>
      </c>
      <c r="AE262" s="14">
        <f>'Model inputs'!AE177*'Model inputs'!AB331/60*'Model inputs'!AB328</f>
        <v>0</v>
      </c>
      <c r="AF262" s="14">
        <f>'Model inputs'!AF177*'Model inputs'!AB331/60*'Model inputs'!AB328</f>
        <v>0</v>
      </c>
      <c r="AG262" s="14">
        <f>'Model inputs'!AG177*'Model inputs'!AB331/60*'Model inputs'!AB328</f>
        <v>0</v>
      </c>
      <c r="AH262" s="14">
        <f>'Model inputs'!AH177*'Model inputs'!AB331/60*'Model inputs'!AB328</f>
        <v>0</v>
      </c>
      <c r="AI262" s="14">
        <f>'Model inputs'!AI177*'Model inputs'!AB331/60*'Model inputs'!AB328</f>
        <v>0</v>
      </c>
      <c r="AJ262" s="14">
        <f>'Model inputs'!AJ177*'Model inputs'!AB331/60*'Model inputs'!AB328</f>
        <v>0</v>
      </c>
      <c r="AK262" s="14">
        <f>'Model inputs'!AK177*'Model inputs'!AB331/60*'Model inputs'!AB328</f>
        <v>0</v>
      </c>
    </row>
    <row r="263" outlineLevel="1">
      <c r="A263" t="inlineStr" s="24">
        <is>
          <t xml:space="preserve">Workspace support costs &gt; Developer</t>
        </is>
      </c>
      <c r="B263" s="14">
        <f>'Model inputs'!B12*'Model inputs'!AB332/60*'Model inputs'!AB328</f>
        <v>0</v>
      </c>
      <c r="C263" s="14">
        <f>'Model inputs'!C12*'Model inputs'!AB332/60*'Model inputs'!AB328</f>
        <v>0</v>
      </c>
      <c r="D263" s="14">
        <f>'Model inputs'!D12*'Model inputs'!AB332/60*'Model inputs'!AB328</f>
        <v>5</v>
      </c>
      <c r="E263" s="14">
        <f>'Model inputs'!E12*'Model inputs'!AB332/60*'Model inputs'!AB328</f>
        <v>9.75</v>
      </c>
      <c r="F263" s="14">
        <f>'Model inputs'!F12*'Model inputs'!AB332/60*'Model inputs'!AB328</f>
        <v>14.2625</v>
      </c>
      <c r="G263" s="14">
        <f>'Model inputs'!G12*'Model inputs'!AB332/60*'Model inputs'!AB328</f>
        <v>18.549375</v>
      </c>
      <c r="H263" s="14">
        <f>'Model inputs'!H12*'Model inputs'!AB332/60*'Model inputs'!AB328</f>
        <v>22.621906250000002</v>
      </c>
      <c r="I263" s="14">
        <f>'Model inputs'!I12*'Model inputs'!AB332/60*'Model inputs'!AB328</f>
        <v>26.4908109375</v>
      </c>
      <c r="J263" s="14">
        <f>'Model inputs'!J12*'Model inputs'!AB332/60*'Model inputs'!AB328</f>
        <v>30.166270390624998</v>
      </c>
      <c r="K263" s="14">
        <f>'Model inputs'!K12*'Model inputs'!AB332/60*'Model inputs'!AB328</f>
        <v>33.65795687109375</v>
      </c>
      <c r="L263" s="14">
        <f>'Model inputs'!L12*'Model inputs'!AB332/60*'Model inputs'!AB328</f>
        <v>36.97505902753906</v>
      </c>
      <c r="M263" s="14">
        <f>'Model inputs'!M12*'Model inputs'!AB332/60*'Model inputs'!AB328</f>
        <v>40.12630607616211</v>
      </c>
      <c r="N263" s="14">
        <f>'Model inputs'!N12*'Model inputs'!AB332/60*'Model inputs'!AB328</f>
        <v>43.119990772354</v>
      </c>
      <c r="O263" s="14">
        <f>'Model inputs'!O12*'Model inputs'!AB332/60*'Model inputs'!AB328</f>
        <v>45.9639912337363</v>
      </c>
      <c r="P263" s="14">
        <f>'Model inputs'!P12*'Model inputs'!AB332/60*'Model inputs'!AB328</f>
        <v>48.665791672049494</v>
      </c>
      <c r="Q263" s="14">
        <f>'Model inputs'!Q12*'Model inputs'!AB332/60*'Model inputs'!AB328</f>
        <v>51.23250208844702</v>
      </c>
      <c r="R263" s="14">
        <f>'Model inputs'!R12*'Model inputs'!AB332/60*'Model inputs'!AB328</f>
        <v>53.67087698402467</v>
      </c>
      <c r="S263" s="14">
        <f>'Model inputs'!S12*'Model inputs'!AB332/60*'Model inputs'!AB328</f>
        <v>55.98733313482343</v>
      </c>
      <c r="T263" s="14">
        <f>'Model inputs'!T12*'Model inputs'!AB332/60*'Model inputs'!AB328</f>
        <v>58.18796647808227</v>
      </c>
      <c r="U263" s="14">
        <f>'Model inputs'!U12*'Model inputs'!AB332/60*'Model inputs'!AB328</f>
        <v>60.27856815417814</v>
      </c>
      <c r="V263" s="14">
        <f>'Model inputs'!V12*'Model inputs'!AB332/60*'Model inputs'!AB328</f>
        <v>62.26463974646924</v>
      </c>
      <c r="W263" s="14">
        <f>'Model inputs'!W12*'Model inputs'!AB332/60*'Model inputs'!AB328</f>
        <v>64.15140775914578</v>
      </c>
      <c r="X263" s="14">
        <f>'Model inputs'!X12*'Model inputs'!AB332/60*'Model inputs'!AB328</f>
        <v>65.9438373711885</v>
      </c>
      <c r="Y263" s="14">
        <f>'Model inputs'!Y12*'Model inputs'!AB332/60*'Model inputs'!AB328</f>
        <v>67.64664550262907</v>
      </c>
      <c r="Z263" s="14">
        <f>'Model inputs'!Z12*'Model inputs'!AB332/60*'Model inputs'!AB328</f>
        <v>69.26431322749762</v>
      </c>
      <c r="AA263" s="14">
        <f>'Model inputs'!AA12*'Model inputs'!AB332/60*'Model inputs'!AB328</f>
        <v>70.80109756612273</v>
      </c>
      <c r="AD263" s="14">
        <f>'Model inputs'!AD178*'Model inputs'!AB332/60*'Model inputs'!AB328</f>
        <v>0</v>
      </c>
      <c r="AE263" s="14">
        <f>'Model inputs'!AE178*'Model inputs'!AB332/60*'Model inputs'!AB328</f>
        <v>0</v>
      </c>
      <c r="AF263" s="14">
        <f>'Model inputs'!AF178*'Model inputs'!AB332/60*'Model inputs'!AB328</f>
        <v>0</v>
      </c>
      <c r="AG263" s="14">
        <f>'Model inputs'!AG178*'Model inputs'!AB332/60*'Model inputs'!AB328</f>
        <v>0</v>
      </c>
      <c r="AH263" s="14">
        <f>'Model inputs'!AH178*'Model inputs'!AB332/60*'Model inputs'!AB328</f>
        <v>0</v>
      </c>
      <c r="AI263" s="14">
        <f>'Model inputs'!AI178*'Model inputs'!AB332/60*'Model inputs'!AB328</f>
        <v>0</v>
      </c>
      <c r="AJ263" s="14">
        <f>'Model inputs'!AJ178*'Model inputs'!AB332/60*'Model inputs'!AB328</f>
        <v>0</v>
      </c>
      <c r="AK263" s="14">
        <f>'Model inputs'!AK178*'Model inputs'!AB332/60*'Model inputs'!AB328</f>
        <v>0</v>
      </c>
    </row>
    <row r="264" outlineLevel="1">
      <c r="A264" t="inlineStr" s="24">
        <is>
          <t xml:space="preserve">Workspace support costs &gt; Team</t>
        </is>
      </c>
      <c r="B264" s="14">
        <f>'Model inputs'!B13*'Model inputs'!AB333/60*'Model inputs'!AB328</f>
        <v>0</v>
      </c>
      <c r="C264" s="14">
        <f>'Model inputs'!C13*'Model inputs'!AB333/60*'Model inputs'!AB328</f>
        <v>0</v>
      </c>
      <c r="D264" s="14">
        <f>'Model inputs'!D13*'Model inputs'!AB333/60*'Model inputs'!AB328</f>
        <v>12.5</v>
      </c>
      <c r="E264" s="14">
        <f>'Model inputs'!E13*'Model inputs'!AB333/60*'Model inputs'!AB328</f>
        <v>24.375</v>
      </c>
      <c r="F264" s="14">
        <f>'Model inputs'!F13*'Model inputs'!AB333/60*'Model inputs'!AB328</f>
        <v>35.65625</v>
      </c>
      <c r="G264" s="14">
        <f>'Model inputs'!G13*'Model inputs'!AB333/60*'Model inputs'!AB328</f>
        <v>46.3734375</v>
      </c>
      <c r="H264" s="14">
        <f>'Model inputs'!H13*'Model inputs'!AB333/60*'Model inputs'!AB328</f>
        <v>56.554765625</v>
      </c>
      <c r="I264" s="14">
        <f>'Model inputs'!I13*'Model inputs'!AB333/60*'Model inputs'!AB328</f>
        <v>66.22702734375</v>
      </c>
      <c r="J264" s="14">
        <f>'Model inputs'!J13*'Model inputs'!AB333/60*'Model inputs'!AB328</f>
        <v>75.4156759765625</v>
      </c>
      <c r="K264" s="14">
        <f>'Model inputs'!K13*'Model inputs'!AB333/60*'Model inputs'!AB328</f>
        <v>84.14489217773438</v>
      </c>
      <c r="L264" s="14">
        <f>'Model inputs'!L13*'Model inputs'!AB333/60*'Model inputs'!AB328</f>
        <v>92.43764756884765</v>
      </c>
      <c r="M264" s="14">
        <f>'Model inputs'!M13*'Model inputs'!AB333/60*'Model inputs'!AB328</f>
        <v>100.31576519040529</v>
      </c>
      <c r="N264" s="14">
        <f>'Model inputs'!N13*'Model inputs'!AB333/60*'Model inputs'!AB328</f>
        <v>107.79997693088501</v>
      </c>
      <c r="O264" s="14">
        <f>'Model inputs'!O13*'Model inputs'!AB333/60*'Model inputs'!AB328</f>
        <v>114.90997808434076</v>
      </c>
      <c r="P264" s="14">
        <f>'Model inputs'!P13*'Model inputs'!AB333/60*'Model inputs'!AB328</f>
        <v>121.66447918012375</v>
      </c>
      <c r="Q264" s="14">
        <f>'Model inputs'!Q13*'Model inputs'!AB333/60*'Model inputs'!AB328</f>
        <v>128.08125522111754</v>
      </c>
      <c r="R264" s="14">
        <f>'Model inputs'!R13*'Model inputs'!AB333/60*'Model inputs'!AB328</f>
        <v>134.1771924600617</v>
      </c>
      <c r="S264" s="14">
        <f>'Model inputs'!S13*'Model inputs'!AB333/60*'Model inputs'!AB328</f>
        <v>139.9683328370586</v>
      </c>
      <c r="T264" s="14">
        <f>'Model inputs'!T13*'Model inputs'!AB333/60*'Model inputs'!AB328</f>
        <v>145.46991619520566</v>
      </c>
      <c r="U264" s="14">
        <f>'Model inputs'!U13*'Model inputs'!AB333/60*'Model inputs'!AB328</f>
        <v>150.69642038544538</v>
      </c>
      <c r="V264" s="14">
        <f>'Model inputs'!V13*'Model inputs'!AB333/60*'Model inputs'!AB328</f>
        <v>155.6615993661731</v>
      </c>
      <c r="W264" s="14">
        <f>'Model inputs'!W13*'Model inputs'!AB333/60*'Model inputs'!AB328</f>
        <v>160.37851939786444</v>
      </c>
      <c r="X264" s="14">
        <f>'Model inputs'!X13*'Model inputs'!AB333/60*'Model inputs'!AB328</f>
        <v>164.85959342797122</v>
      </c>
      <c r="Y264" s="14">
        <f>'Model inputs'!Y13*'Model inputs'!AB333/60*'Model inputs'!AB328</f>
        <v>169.1166137565727</v>
      </c>
      <c r="Z264" s="14">
        <f>'Model inputs'!Z13*'Model inputs'!AB333/60*'Model inputs'!AB328</f>
        <v>173.16078306874405</v>
      </c>
      <c r="AA264" s="14">
        <f>'Model inputs'!AA13*'Model inputs'!AB333/60*'Model inputs'!AB328</f>
        <v>177.00274391530684</v>
      </c>
      <c r="AD264" s="14">
        <f>'Model inputs'!AD179*'Model inputs'!AB333/60*'Model inputs'!AB328</f>
        <v>0</v>
      </c>
      <c r="AE264" s="14">
        <f>'Model inputs'!AE179*'Model inputs'!AB333/60*'Model inputs'!AB328</f>
        <v>0</v>
      </c>
      <c r="AF264" s="14">
        <f>'Model inputs'!AF179*'Model inputs'!AB333/60*'Model inputs'!AB328</f>
        <v>0</v>
      </c>
      <c r="AG264" s="14">
        <f>'Model inputs'!AG179*'Model inputs'!AB333/60*'Model inputs'!AB328</f>
        <v>0</v>
      </c>
      <c r="AH264" s="14">
        <f>'Model inputs'!AH179*'Model inputs'!AB333/60*'Model inputs'!AB328</f>
        <v>0</v>
      </c>
      <c r="AI264" s="14">
        <f>'Model inputs'!AI179*'Model inputs'!AB333/60*'Model inputs'!AB328</f>
        <v>0</v>
      </c>
      <c r="AJ264" s="14">
        <f>'Model inputs'!AJ179*'Model inputs'!AB333/60*'Model inputs'!AB328</f>
        <v>0</v>
      </c>
      <c r="AK264" s="14">
        <f>'Model inputs'!AK179*'Model inputs'!AB333/60*'Model inputs'!AB328</f>
        <v>0</v>
      </c>
    </row>
    <row r="265">
      <c r="A265" t="inlineStr" s="23">
        <is>
          <t xml:space="preserve">Workspace support costs</t>
        </is>
      </c>
      <c r="B265" s="11">
        <f>SUM('Model inputs'!B266,'Model inputs'!B267,'Model inputs'!B268)</f>
        <v>0</v>
      </c>
      <c r="C265" s="11">
        <f>SUM('Model inputs'!C266,'Model inputs'!C267,'Model inputs'!C268)</f>
        <v>0</v>
      </c>
      <c r="D265" s="11">
        <f>SUM('Model inputs'!D266,'Model inputs'!D267,'Model inputs'!D268)</f>
        <v>87.5</v>
      </c>
      <c r="E265" s="11">
        <f>SUM('Model inputs'!E266,'Model inputs'!E267,'Model inputs'!E268)</f>
        <v>180.25000000000003</v>
      </c>
      <c r="F265" s="11">
        <f>SUM('Model inputs'!F266,'Model inputs'!F267,'Model inputs'!F268)</f>
        <v>278.70500000000004</v>
      </c>
      <c r="G265" s="11">
        <f>SUM('Model inputs'!G266,'Model inputs'!G267,'Model inputs'!G268)</f>
        <v>383.3557</v>
      </c>
      <c r="H265" s="11">
        <f>SUM('Model inputs'!H266,'Model inputs'!H267,'Model inputs'!H268)</f>
        <v>494.7313700000001</v>
      </c>
      <c r="I265" s="11">
        <f>SUM('Model inputs'!I266,'Model inputs'!I267,'Model inputs'!I268)</f>
        <v>613.4029493200002</v>
      </c>
      <c r="J265" s="11">
        <f>SUM('Model inputs'!J266,'Model inputs'!J267,'Model inputs'!J268)</f>
        <v>739.9863935912002</v>
      </c>
      <c r="K265" s="11">
        <f>SUM('Model inputs'!K266,'Model inputs'!K267,'Model inputs'!K268)</f>
        <v>875.1462892375841</v>
      </c>
      <c r="L265" s="11">
        <f>SUM('Model inputs'!L266,'Model inputs'!L267,'Model inputs'!L268)</f>
        <v>1019.5997568524973</v>
      </c>
      <c r="M265" s="11">
        <f>SUM('Model inputs'!M266,'Model inputs'!M267,'Model inputs'!M268)</f>
        <v>1174.1206665870855</v>
      </c>
      <c r="N265" s="11">
        <f>SUM('Model inputs'!N266,'Model inputs'!N267,'Model inputs'!N268)</f>
        <v>1339.5441905167127</v>
      </c>
      <c r="O265" s="11">
        <f>SUM('Model inputs'!O266,'Model inputs'!O267,'Model inputs'!O268)</f>
        <v>1516.7717189486568</v>
      </c>
      <c r="P265" s="11">
        <f>SUM('Model inputs'!P266,'Model inputs'!P267,'Model inputs'!P268)</f>
        <v>1706.7761697913447</v>
      </c>
      <c r="Q265" s="11">
        <f>SUM('Model inputs'!Q266,'Model inputs'!Q267,'Model inputs'!Q268)</f>
        <v>1910.6077224349112</v>
      </c>
      <c r="R265" s="11">
        <f>SUM('Model inputs'!R266,'Model inputs'!R267,'Model inputs'!R268)</f>
        <v>2129.400010108758</v>
      </c>
      <c r="S265" s="11">
        <f>SUM('Model inputs'!S266,'Model inputs'!S267,'Model inputs'!S268)</f>
        <v>2364.376807398932</v>
      </c>
      <c r="T265" s="11">
        <f>SUM('Model inputs'!T266,'Model inputs'!T267,'Model inputs'!T268)</f>
        <v>2616.8592525426902</v>
      </c>
      <c r="U265" s="11">
        <f>SUM('Model inputs'!U266,'Model inputs'!U267,'Model inputs'!U268)</f>
        <v>2888.273647286912</v>
      </c>
      <c r="V265" s="11">
        <f>SUM('Model inputs'!V266,'Model inputs'!V267,'Model inputs'!V268)</f>
        <v>3180.1598805198555</v>
      </c>
      <c r="W265" s="11">
        <f>SUM('Model inputs'!W266,'Model inputs'!W267,'Model inputs'!W268)</f>
        <v>3494.1805255824347</v>
      </c>
      <c r="X265" s="11">
        <f>SUM('Model inputs'!X266,'Model inputs'!X267,'Model inputs'!X268)</f>
        <v>3832.1306651576006</v>
      </c>
      <c r="Y265" s="11">
        <f>SUM('Model inputs'!Y266,'Model inputs'!Y267,'Model inputs'!Y268)</f>
        <v>4195.948501948208</v>
      </c>
      <c r="Z265" s="11">
        <f>SUM('Model inputs'!Z266,'Model inputs'!Z267,'Model inputs'!Z268)</f>
        <v>4587.726818010504</v>
      </c>
      <c r="AA265" s="11">
        <f>SUM('Model inputs'!AA266,'Model inputs'!AA267,'Model inputs'!AA268)</f>
        <v>5009.725350639656</v>
      </c>
      <c r="AD265" s="11">
        <f>SUM('Model inputs'!AD266,'Model inputs'!AD267,'Model inputs'!AD268)</f>
        <v>0</v>
      </c>
      <c r="AE265" s="11">
        <f>SUM('Model inputs'!AE266,'Model inputs'!AE267,'Model inputs'!AE268)</f>
        <v>0</v>
      </c>
      <c r="AF265" s="11">
        <f>SUM('Model inputs'!AF266,'Model inputs'!AF267,'Model inputs'!AF268)</f>
        <v>0</v>
      </c>
      <c r="AG265" s="11">
        <f>SUM('Model inputs'!AG266,'Model inputs'!AG267,'Model inputs'!AG268)</f>
        <v>0</v>
      </c>
      <c r="AH265" s="11">
        <f>SUM('Model inputs'!AH266,'Model inputs'!AH267,'Model inputs'!AH268)</f>
        <v>0</v>
      </c>
      <c r="AI265" s="11">
        <f>SUM('Model inputs'!AI266,'Model inputs'!AI267,'Model inputs'!AI268)</f>
        <v>0</v>
      </c>
      <c r="AJ265" s="11">
        <f>SUM('Model inputs'!AJ266,'Model inputs'!AJ267,'Model inputs'!AJ268)</f>
        <v>0</v>
      </c>
      <c r="AK265" s="11">
        <f>SUM('Model inputs'!AK266,'Model inputs'!AK267,'Model inputs'!AK268)</f>
        <v>0</v>
      </c>
    </row>
    <row r="266" outlineLevel="1">
      <c r="A266" t="inlineStr" s="24">
        <is>
          <t xml:space="preserve">Workspace support costs &gt; Agency</t>
        </is>
      </c>
      <c r="B266" s="14">
        <f>'Model inputs'!B15*'Model inputs'!AB335/60*'Model inputs'!AB329</f>
        <v>0</v>
      </c>
      <c r="C266" s="14">
        <f>'Model inputs'!C15*'Model inputs'!AB335/60*'Model inputs'!AB329</f>
        <v>0</v>
      </c>
      <c r="D266" s="14">
        <f>'Model inputs'!D15*'Model inputs'!AB335/60*'Model inputs'!AB329</f>
        <v>30</v>
      </c>
      <c r="E266" s="14">
        <f>'Model inputs'!E15*'Model inputs'!AB335/60*'Model inputs'!AB329</f>
        <v>61.800000000000004</v>
      </c>
      <c r="F266" s="14">
        <f>'Model inputs'!F15*'Model inputs'!AB335/60*'Model inputs'!AB329</f>
        <v>95.556</v>
      </c>
      <c r="G266" s="14">
        <f>'Model inputs'!G15*'Model inputs'!AB335/60*'Model inputs'!AB329</f>
        <v>131.43624</v>
      </c>
      <c r="H266" s="14">
        <f>'Model inputs'!H15*'Model inputs'!AB335/60*'Model inputs'!AB329</f>
        <v>169.62218400000003</v>
      </c>
      <c r="I266" s="14">
        <f>'Model inputs'!I15*'Model inputs'!AB335/60*'Model inputs'!AB329</f>
        <v>210.30958262400006</v>
      </c>
      <c r="J266" s="14">
        <f>'Model inputs'!J15*'Model inputs'!AB335/60*'Model inputs'!AB329</f>
        <v>253.70962065984006</v>
      </c>
      <c r="K266" s="14">
        <f>'Model inputs'!K15*'Model inputs'!AB335/60*'Model inputs'!AB329</f>
        <v>300.05015631002885</v>
      </c>
      <c r="L266" s="14">
        <f>'Model inputs'!L15*'Model inputs'!AB335/60*'Model inputs'!AB329</f>
        <v>349.5770594922848</v>
      </c>
      <c r="M266" s="14">
        <f>'Model inputs'!M15*'Model inputs'!AB335/60*'Model inputs'!AB329</f>
        <v>402.5556571155721</v>
      </c>
      <c r="N266" s="14">
        <f>'Model inputs'!N15*'Model inputs'!AB335/60*'Model inputs'!AB329</f>
        <v>459.2722938914443</v>
      </c>
      <c r="O266" s="14">
        <f>'Model inputs'!O15*'Model inputs'!AB335/60*'Model inputs'!AB329</f>
        <v>520.0360179252536</v>
      </c>
      <c r="P266" s="14">
        <f>'Model inputs'!P15*'Model inputs'!AB335/60*'Model inputs'!AB329</f>
        <v>585.1804010713181</v>
      </c>
      <c r="Q266" s="14">
        <f>'Model inputs'!Q15*'Model inputs'!AB335/60*'Model inputs'!AB329</f>
        <v>655.0655048348267</v>
      </c>
      <c r="R266" s="14">
        <f>'Model inputs'!R15*'Model inputs'!AB335/60*'Model inputs'!AB329</f>
        <v>730.0800034658598</v>
      </c>
      <c r="S266" s="14">
        <f>'Model inputs'!S15*'Model inputs'!AB335/60*'Model inputs'!AB329</f>
        <v>810.6434768224909</v>
      </c>
      <c r="T266" s="14">
        <f>'Model inputs'!T15*'Model inputs'!AB335/60*'Model inputs'!AB329</f>
        <v>897.2088865860652</v>
      </c>
      <c r="U266" s="14">
        <f>'Model inputs'!U15*'Model inputs'!AB335/60*'Model inputs'!AB329</f>
        <v>990.2652504983698</v>
      </c>
      <c r="V266" s="14">
        <f>'Model inputs'!V15*'Model inputs'!AB335/60*'Model inputs'!AB329</f>
        <v>1090.3405304639505</v>
      </c>
      <c r="W266" s="14">
        <f>'Model inputs'!W15*'Model inputs'!AB335/60*'Model inputs'!AB329</f>
        <v>1198.0047516282632</v>
      </c>
      <c r="X266" s="14">
        <f>'Model inputs'!X15*'Model inputs'!AB335/60*'Model inputs'!AB329</f>
        <v>1313.873370911177</v>
      </c>
      <c r="Y266" s="14">
        <f>'Model inputs'!Y15*'Model inputs'!AB335/60*'Model inputs'!AB329</f>
        <v>1438.6109149536712</v>
      </c>
      <c r="Z266" s="14">
        <f>'Model inputs'!Z15*'Model inputs'!AB335/60*'Model inputs'!AB329</f>
        <v>1572.9349090321728</v>
      </c>
      <c r="AA266" s="14">
        <f>'Model inputs'!AA15*'Model inputs'!AB335/60*'Model inputs'!AB329</f>
        <v>1717.6201202193104</v>
      </c>
      <c r="AD266" s="14">
        <f>'Model inputs'!AD181*'Model inputs'!AB335/60*'Model inputs'!AB329</f>
        <v>0</v>
      </c>
      <c r="AE266" s="14">
        <f>'Model inputs'!AE181*'Model inputs'!AB335/60*'Model inputs'!AB329</f>
        <v>0</v>
      </c>
      <c r="AF266" s="14">
        <f>'Model inputs'!AF181*'Model inputs'!AB335/60*'Model inputs'!AB329</f>
        <v>0</v>
      </c>
      <c r="AG266" s="14">
        <f>'Model inputs'!AG181*'Model inputs'!AB335/60*'Model inputs'!AB329</f>
        <v>0</v>
      </c>
      <c r="AH266" s="14">
        <f>'Model inputs'!AH181*'Model inputs'!AB335/60*'Model inputs'!AB329</f>
        <v>0</v>
      </c>
      <c r="AI266" s="14">
        <f>'Model inputs'!AI181*'Model inputs'!AB335/60*'Model inputs'!AB329</f>
        <v>0</v>
      </c>
      <c r="AJ266" s="14">
        <f>'Model inputs'!AJ181*'Model inputs'!AB335/60*'Model inputs'!AB329</f>
        <v>0</v>
      </c>
      <c r="AK266" s="14">
        <f>'Model inputs'!AK181*'Model inputs'!AB335/60*'Model inputs'!AB329</f>
        <v>0</v>
      </c>
    </row>
    <row r="267" outlineLevel="1">
      <c r="A267" t="inlineStr" s="24">
        <is>
          <t xml:space="preserve">Workspace support costs &gt; Developer</t>
        </is>
      </c>
      <c r="B267" s="14">
        <f>'Model inputs'!B16*'Model inputs'!AB336/60*'Model inputs'!AB329</f>
        <v>0</v>
      </c>
      <c r="C267" s="14">
        <f>'Model inputs'!C16*'Model inputs'!AB336/60*'Model inputs'!AB329</f>
        <v>0</v>
      </c>
      <c r="D267" s="14">
        <f>'Model inputs'!D16*'Model inputs'!AB336/60*'Model inputs'!AB329</f>
        <v>20</v>
      </c>
      <c r="E267" s="14">
        <f>'Model inputs'!E16*'Model inputs'!AB336/60*'Model inputs'!AB329</f>
        <v>41.2</v>
      </c>
      <c r="F267" s="14">
        <f>'Model inputs'!F16*'Model inputs'!AB336/60*'Model inputs'!AB329</f>
        <v>63.70400000000001</v>
      </c>
      <c r="G267" s="14">
        <f>'Model inputs'!G16*'Model inputs'!AB336/60*'Model inputs'!AB329</f>
        <v>87.62416</v>
      </c>
      <c r="H267" s="14">
        <f>'Model inputs'!H16*'Model inputs'!AB336/60*'Model inputs'!AB329</f>
        <v>113.081456</v>
      </c>
      <c r="I267" s="14">
        <f>'Model inputs'!I16*'Model inputs'!AB336/60*'Model inputs'!AB329</f>
        <v>140.20638841600004</v>
      </c>
      <c r="J267" s="14">
        <f>'Model inputs'!J16*'Model inputs'!AB336/60*'Model inputs'!AB329</f>
        <v>169.13974710656004</v>
      </c>
      <c r="K267" s="14">
        <f>'Model inputs'!K16*'Model inputs'!AB336/60*'Model inputs'!AB329</f>
        <v>200.03343754001924</v>
      </c>
      <c r="L267" s="14">
        <f>'Model inputs'!L16*'Model inputs'!AB336/60*'Model inputs'!AB329</f>
        <v>233.0513729948565</v>
      </c>
      <c r="M267" s="14">
        <f>'Model inputs'!M16*'Model inputs'!AB336/60*'Model inputs'!AB329</f>
        <v>268.37043807704805</v>
      </c>
      <c r="N267" s="14">
        <f>'Model inputs'!N16*'Model inputs'!AB336/60*'Model inputs'!AB329</f>
        <v>306.18152926096286</v>
      </c>
      <c r="O267" s="14">
        <f>'Model inputs'!O16*'Model inputs'!AB336/60*'Model inputs'!AB329</f>
        <v>346.6906786168358</v>
      </c>
      <c r="P267" s="14">
        <f>'Model inputs'!P16*'Model inputs'!AB336/60*'Model inputs'!AB329</f>
        <v>390.1202673808788</v>
      </c>
      <c r="Q267" s="14">
        <f>'Model inputs'!Q16*'Model inputs'!AB336/60*'Model inputs'!AB329</f>
        <v>436.71033655655117</v>
      </c>
      <c r="R267" s="14">
        <f>'Model inputs'!R16*'Model inputs'!AB336/60*'Model inputs'!AB329</f>
        <v>486.7200023105733</v>
      </c>
      <c r="S267" s="14">
        <f>'Model inputs'!S16*'Model inputs'!AB336/60*'Model inputs'!AB329</f>
        <v>540.4289845483273</v>
      </c>
      <c r="T267" s="14">
        <f>'Model inputs'!T16*'Model inputs'!AB336/60*'Model inputs'!AB329</f>
        <v>598.1392577240434</v>
      </c>
      <c r="U267" s="14">
        <f>'Model inputs'!U16*'Model inputs'!AB336/60*'Model inputs'!AB329</f>
        <v>660.1768336655799</v>
      </c>
      <c r="V267" s="14">
        <f>'Model inputs'!V16*'Model inputs'!AB336/60*'Model inputs'!AB329</f>
        <v>726.893686975967</v>
      </c>
      <c r="W267" s="14">
        <f>'Model inputs'!W16*'Model inputs'!AB336/60*'Model inputs'!AB329</f>
        <v>798.6698344188421</v>
      </c>
      <c r="X267" s="14">
        <f>'Model inputs'!X16*'Model inputs'!AB336/60*'Model inputs'!AB329</f>
        <v>875.9155806074514</v>
      </c>
      <c r="Y267" s="14">
        <f>'Model inputs'!Y16*'Model inputs'!AB336/60*'Model inputs'!AB329</f>
        <v>959.0739433024473</v>
      </c>
      <c r="Z267" s="14">
        <f>'Model inputs'!Z16*'Model inputs'!AB336/60*'Model inputs'!AB329</f>
        <v>1048.6232726881149</v>
      </c>
      <c r="AA267" s="14">
        <f>'Model inputs'!AA16*'Model inputs'!AB336/60*'Model inputs'!AB329</f>
        <v>1145.080080146207</v>
      </c>
      <c r="AD267" s="14">
        <f>'Model inputs'!AD182*'Model inputs'!AB336/60*'Model inputs'!AB329</f>
        <v>0</v>
      </c>
      <c r="AE267" s="14">
        <f>'Model inputs'!AE182*'Model inputs'!AB336/60*'Model inputs'!AB329</f>
        <v>0</v>
      </c>
      <c r="AF267" s="14">
        <f>'Model inputs'!AF182*'Model inputs'!AB336/60*'Model inputs'!AB329</f>
        <v>0</v>
      </c>
      <c r="AG267" s="14">
        <f>'Model inputs'!AG182*'Model inputs'!AB336/60*'Model inputs'!AB329</f>
        <v>0</v>
      </c>
      <c r="AH267" s="14">
        <f>'Model inputs'!AH182*'Model inputs'!AB336/60*'Model inputs'!AB329</f>
        <v>0</v>
      </c>
      <c r="AI267" s="14">
        <f>'Model inputs'!AI182*'Model inputs'!AB336/60*'Model inputs'!AB329</f>
        <v>0</v>
      </c>
      <c r="AJ267" s="14">
        <f>'Model inputs'!AJ182*'Model inputs'!AB336/60*'Model inputs'!AB329</f>
        <v>0</v>
      </c>
      <c r="AK267" s="14">
        <f>'Model inputs'!AK182*'Model inputs'!AB336/60*'Model inputs'!AB329</f>
        <v>0</v>
      </c>
    </row>
    <row r="268" outlineLevel="1">
      <c r="A268" t="inlineStr" s="24">
        <is>
          <t xml:space="preserve">Workspace support costs &gt; Team</t>
        </is>
      </c>
      <c r="B268" s="14">
        <f>'Model inputs'!B17*'Model inputs'!AB337/60*'Model inputs'!AB329</f>
        <v>0</v>
      </c>
      <c r="C268" s="14">
        <f>'Model inputs'!C17*'Model inputs'!AB337/60*'Model inputs'!AB329</f>
        <v>0</v>
      </c>
      <c r="D268" s="14">
        <f>'Model inputs'!D17*'Model inputs'!AB337/60*'Model inputs'!AB329</f>
        <v>37.5</v>
      </c>
      <c r="E268" s="14">
        <f>'Model inputs'!E17*'Model inputs'!AB337/60*'Model inputs'!AB329</f>
        <v>77.25000000000001</v>
      </c>
      <c r="F268" s="14">
        <f>'Model inputs'!F17*'Model inputs'!AB337/60*'Model inputs'!AB329</f>
        <v>119.44500000000002</v>
      </c>
      <c r="G268" s="14">
        <f>'Model inputs'!G17*'Model inputs'!AB337/60*'Model inputs'!AB329</f>
        <v>164.29530000000003</v>
      </c>
      <c r="H268" s="14">
        <f>'Model inputs'!H17*'Model inputs'!AB337/60*'Model inputs'!AB329</f>
        <v>212.02773000000002</v>
      </c>
      <c r="I268" s="14">
        <f>'Model inputs'!I17*'Model inputs'!AB337/60*'Model inputs'!AB329</f>
        <v>262.88697828000005</v>
      </c>
      <c r="J268" s="14">
        <f>'Model inputs'!J17*'Model inputs'!AB337/60*'Model inputs'!AB329</f>
        <v>317.1370258248001</v>
      </c>
      <c r="K268" s="14">
        <f>'Model inputs'!K17*'Model inputs'!AB337/60*'Model inputs'!AB329</f>
        <v>375.0626953875361</v>
      </c>
      <c r="L268" s="14">
        <f>'Model inputs'!L17*'Model inputs'!AB337/60*'Model inputs'!AB329</f>
        <v>436.97132436535605</v>
      </c>
      <c r="M268" s="14">
        <f>'Model inputs'!M17*'Model inputs'!AB337/60*'Model inputs'!AB329</f>
        <v>503.1945713944652</v>
      </c>
      <c r="N268" s="14">
        <f>'Model inputs'!N17*'Model inputs'!AB337/60*'Model inputs'!AB329</f>
        <v>574.0903673643055</v>
      </c>
      <c r="O268" s="14">
        <f>'Model inputs'!O17*'Model inputs'!AB337/60*'Model inputs'!AB329</f>
        <v>650.0450224065673</v>
      </c>
      <c r="P268" s="14">
        <f>'Model inputs'!P17*'Model inputs'!AB337/60*'Model inputs'!AB329</f>
        <v>731.4755013391477</v>
      </c>
      <c r="Q268" s="14">
        <f>'Model inputs'!Q17*'Model inputs'!AB337/60*'Model inputs'!AB329</f>
        <v>818.8318810435334</v>
      </c>
      <c r="R268" s="14">
        <f>'Model inputs'!R17*'Model inputs'!AB337/60*'Model inputs'!AB329</f>
        <v>912.600004332325</v>
      </c>
      <c r="S268" s="14">
        <f>'Model inputs'!S17*'Model inputs'!AB337/60*'Model inputs'!AB329</f>
        <v>1013.304346028114</v>
      </c>
      <c r="T268" s="14">
        <f>'Model inputs'!T17*'Model inputs'!AB337/60*'Model inputs'!AB329</f>
        <v>1121.5111082325816</v>
      </c>
      <c r="U268" s="14">
        <f>'Model inputs'!U17*'Model inputs'!AB337/60*'Model inputs'!AB329</f>
        <v>1237.8315631229623</v>
      </c>
      <c r="V268" s="14">
        <f>'Model inputs'!V17*'Model inputs'!AB337/60*'Model inputs'!AB329</f>
        <v>1362.9256630799382</v>
      </c>
      <c r="W268" s="14">
        <f>'Model inputs'!W17*'Model inputs'!AB337/60*'Model inputs'!AB329</f>
        <v>1497.5059395353294</v>
      </c>
      <c r="X268" s="14">
        <f>'Model inputs'!X17*'Model inputs'!AB337/60*'Model inputs'!AB329</f>
        <v>1642.341713638972</v>
      </c>
      <c r="Y268" s="14">
        <f>'Model inputs'!Y17*'Model inputs'!AB337/60*'Model inputs'!AB329</f>
        <v>1798.2636436920895</v>
      </c>
      <c r="Z268" s="14">
        <f>'Model inputs'!Z17*'Model inputs'!AB337/60*'Model inputs'!AB329</f>
        <v>1966.1686362902167</v>
      </c>
      <c r="AA268" s="14">
        <f>'Model inputs'!AA17*'Model inputs'!AB337/60*'Model inputs'!AB329</f>
        <v>2147.025150274139</v>
      </c>
      <c r="AD268" s="14">
        <f>'Model inputs'!AD183*'Model inputs'!AB337/60*'Model inputs'!AB329</f>
        <v>0</v>
      </c>
      <c r="AE268" s="14">
        <f>'Model inputs'!AE183*'Model inputs'!AB337/60*'Model inputs'!AB329</f>
        <v>0</v>
      </c>
      <c r="AF268" s="14">
        <f>'Model inputs'!AF183*'Model inputs'!AB337/60*'Model inputs'!AB329</f>
        <v>0</v>
      </c>
      <c r="AG268" s="14">
        <f>'Model inputs'!AG183*'Model inputs'!AB337/60*'Model inputs'!AB329</f>
        <v>0</v>
      </c>
      <c r="AH268" s="14">
        <f>'Model inputs'!AH183*'Model inputs'!AB337/60*'Model inputs'!AB329</f>
        <v>0</v>
      </c>
      <c r="AI268" s="14">
        <f>'Model inputs'!AI183*'Model inputs'!AB337/60*'Model inputs'!AB329</f>
        <v>0</v>
      </c>
      <c r="AJ268" s="14">
        <f>'Model inputs'!AJ183*'Model inputs'!AB337/60*'Model inputs'!AB329</f>
        <v>0</v>
      </c>
      <c r="AK268" s="14">
        <f>'Model inputs'!AK183*'Model inputs'!AB337/60*'Model inputs'!AB329</f>
        <v>0</v>
      </c>
    </row>
    <row r="269">
      <c r="A269" t="inlineStr" s="23">
        <is>
          <t xml:space="preserve">Database cost per run · Estimated cost per completed run · CheckoutGuard — Forecast · CheckoutGuard monthly forecast — assumptions</t>
        </is>
      </c>
      <c r="AB269" s="9">
        <f>'CheckoutGuard — Assumptions · C'!B12</f>
        <v>0.002</v>
      </c>
    </row>
    <row r="270">
      <c r="A270" t="inlineStr" s="23">
        <is>
          <t xml:space="preserve">Evidence cost per run · Estimated cost per completed run · CheckoutGuard — Forecast · CheckoutGuard monthly forecast — assumptions</t>
        </is>
      </c>
      <c r="AB270" s="9">
        <f>'CheckoutGuard — Assumptions · C'!B13</f>
        <v>0.001</v>
      </c>
    </row>
    <row r="271">
      <c r="A271" t="inlineStr" s="23">
        <is>
          <t xml:space="preserve">Telemetry cost per run · Estimated cost per completed run · CheckoutGuard — Forecast · CheckoutGuard monthly forecast — assumptions</t>
        </is>
      </c>
      <c r="AB271" s="9">
        <f>'CheckoutGuard — Assumptions · C'!B14</f>
        <v>0.0005</v>
      </c>
    </row>
    <row r="272">
      <c r="A272" t="inlineStr" s="23">
        <is>
          <t xml:space="preserve">Support minutes per run · Estimated cost per completed run · CheckoutGuard — Forecast · CheckoutGuard monthly forecast — assumptions</t>
        </is>
      </c>
      <c r="AB272" s="9">
        <f>'CheckoutGuard — Assumptions · C'!B15</f>
        <v>0.02</v>
      </c>
    </row>
    <row r="273">
      <c r="A273" t="inlineStr" s="23">
        <is>
          <t xml:space="preserve">Input rate per million · Estimated cost per completed run · CheckoutGuard — Forecast · CheckoutGuard monthly forecast — assumptions</t>
        </is>
      </c>
      <c r="AB273" s="9">
        <f>'CheckoutGuard — Assumptions · C'!B5</f>
        <v>0.25</v>
      </c>
    </row>
    <row r="274">
      <c r="A274" t="inlineStr" s="23">
        <is>
          <t xml:space="preserve">Mean input tokens · Estimated cost per completed run · CheckoutGuard — Forecast · CheckoutGuard monthly forecast — assumptions</t>
        </is>
      </c>
      <c r="AB274" s="9">
        <f>AVERAGE('Model inputs'!AC145,'Model inputs'!AC146,'Model inputs'!AC147)</f>
        <v>12230</v>
      </c>
    </row>
    <row r="275">
      <c r="A275" t="inlineStr" s="23">
        <is>
          <t xml:space="preserve">Mean output tokens · Estimated cost per completed run · CheckoutGuard — Forecast · CheckoutGuard monthly forecast — assumptions</t>
        </is>
      </c>
      <c r="AB275" s="9">
        <f>AVERAGE('Model inputs'!AC149,'Model inputs'!AC150,'Model inputs'!AC151)</f>
        <v>194.33333333333334</v>
      </c>
    </row>
    <row r="276">
      <c r="A276" t="inlineStr" s="23">
        <is>
          <t xml:space="preserve">Output rate per million · Estimated cost per completed run · CheckoutGuard — Forecast · CheckoutGuard monthly forecast — assumptions</t>
        </is>
      </c>
      <c r="AB276" s="9">
        <f>'CheckoutGuard — Assumptions · C'!B6</f>
        <v>0.5</v>
      </c>
    </row>
    <row r="277">
      <c r="A277" t="inlineStr" s="23">
        <is>
          <t xml:space="preserve">Completed runs</t>
        </is>
      </c>
      <c r="B277" s="6">
        <f>SUM('Model inputs'!B278,'Model inputs'!B279,'Model inputs'!B280)</f>
        <v>0</v>
      </c>
      <c r="C277" s="6">
        <f>SUM('Model inputs'!C278,'Model inputs'!C279,'Model inputs'!C280)</f>
        <v>0</v>
      </c>
      <c r="D277" s="6">
        <f>SUM('Model inputs'!D278,'Model inputs'!D279,'Model inputs'!D280)</f>
        <v>550</v>
      </c>
      <c r="E277" s="6">
        <f>SUM('Model inputs'!E278,'Model inputs'!E279,'Model inputs'!E280)</f>
        <v>1072.5</v>
      </c>
      <c r="F277" s="6">
        <f>SUM('Model inputs'!F278,'Model inputs'!F279,'Model inputs'!F280)</f>
        <v>1568.875</v>
      </c>
      <c r="G277" s="6">
        <f>SUM('Model inputs'!G278,'Model inputs'!G279,'Model inputs'!G280)</f>
        <v>2040.43125</v>
      </c>
      <c r="H277" s="6">
        <f>SUM('Model inputs'!H278,'Model inputs'!H279,'Model inputs'!H280)</f>
        <v>2488.4096875000005</v>
      </c>
      <c r="I277" s="6">
        <f>SUM('Model inputs'!I278,'Model inputs'!I279,'Model inputs'!I280)</f>
        <v>2913.989203125</v>
      </c>
      <c r="J277" s="6">
        <f>SUM('Model inputs'!J278,'Model inputs'!J279,'Model inputs'!J280)</f>
        <v>3318.28974296875</v>
      </c>
      <c r="K277" s="6">
        <f>SUM('Model inputs'!K278,'Model inputs'!K279,'Model inputs'!K280)</f>
        <v>3702.3752558203128</v>
      </c>
      <c r="L277" s="6">
        <f>SUM('Model inputs'!L278,'Model inputs'!L279,'Model inputs'!L280)</f>
        <v>4067.256493029297</v>
      </c>
      <c r="M277" s="6">
        <f>SUM('Model inputs'!M278,'Model inputs'!M279,'Model inputs'!M280)</f>
        <v>4413.893668377832</v>
      </c>
      <c r="N277" s="6">
        <f>SUM('Model inputs'!N278,'Model inputs'!N279,'Model inputs'!N280)</f>
        <v>4743.198984958941</v>
      </c>
      <c r="O277" s="6">
        <f>SUM('Model inputs'!O278,'Model inputs'!O279,'Model inputs'!O280)</f>
        <v>5056.039035710994</v>
      </c>
      <c r="P277" s="6">
        <f>SUM('Model inputs'!P278,'Model inputs'!P279,'Model inputs'!P280)</f>
        <v>5353.237083925444</v>
      </c>
      <c r="Q277" s="6">
        <f>SUM('Model inputs'!Q278,'Model inputs'!Q279,'Model inputs'!Q280)</f>
        <v>5635.575229729172</v>
      </c>
      <c r="R277" s="6">
        <f>SUM('Model inputs'!R278,'Model inputs'!R279,'Model inputs'!R280)</f>
        <v>5903.796468242714</v>
      </c>
      <c r="S277" s="6">
        <f>SUM('Model inputs'!S278,'Model inputs'!S279,'Model inputs'!S280)</f>
        <v>6158.606644830577</v>
      </c>
      <c r="T277" s="6">
        <f>SUM('Model inputs'!T278,'Model inputs'!T279,'Model inputs'!T280)</f>
        <v>6400.676312589048</v>
      </c>
      <c r="U277" s="6">
        <f>SUM('Model inputs'!U278,'Model inputs'!U279,'Model inputs'!U280)</f>
        <v>6630.642496959596</v>
      </c>
      <c r="V277" s="6">
        <f>SUM('Model inputs'!V278,'Model inputs'!V279,'Model inputs'!V280)</f>
        <v>6849.110372111616</v>
      </c>
      <c r="W277" s="6">
        <f>SUM('Model inputs'!W278,'Model inputs'!W279,'Model inputs'!W280)</f>
        <v>7056.654853506036</v>
      </c>
      <c r="X277" s="6">
        <f>SUM('Model inputs'!X278,'Model inputs'!X279,'Model inputs'!X280)</f>
        <v>7253.822110830734</v>
      </c>
      <c r="Y277" s="6">
        <f>SUM('Model inputs'!Y278,'Model inputs'!Y279,'Model inputs'!Y280)</f>
        <v>7441.131005289198</v>
      </c>
      <c r="Z277" s="6">
        <f>SUM('Model inputs'!Z278,'Model inputs'!Z279,'Model inputs'!Z280)</f>
        <v>7619.074455024738</v>
      </c>
      <c r="AA277" s="6">
        <f>SUM('Model inputs'!AA278,'Model inputs'!AA279,'Model inputs'!AA280)</f>
        <v>7788.120732273501</v>
      </c>
      <c r="AD277" s="6">
        <f>SUM('Model inputs'!AD278,'Model inputs'!AD279,'Model inputs'!AD280)</f>
        <v>0</v>
      </c>
      <c r="AE277" s="6">
        <f>SUM('Model inputs'!AE278,'Model inputs'!AE279,'Model inputs'!AE280)</f>
        <v>0</v>
      </c>
      <c r="AF277" s="6">
        <f>SUM('Model inputs'!AF278,'Model inputs'!AF279,'Model inputs'!AF280)</f>
        <v>0</v>
      </c>
      <c r="AG277" s="6">
        <f>SUM('Model inputs'!AG278,'Model inputs'!AG279,'Model inputs'!AG280)</f>
        <v>0</v>
      </c>
      <c r="AH277" s="6">
        <f>SUM('Model inputs'!AH278,'Model inputs'!AH279,'Model inputs'!AH280)</f>
        <v>0</v>
      </c>
      <c r="AI277" s="6">
        <f>SUM('Model inputs'!AI278,'Model inputs'!AI279,'Model inputs'!AI280)</f>
        <v>0</v>
      </c>
      <c r="AJ277" s="6">
        <f>SUM('Model inputs'!AJ278,'Model inputs'!AJ279,'Model inputs'!AJ280)</f>
        <v>0</v>
      </c>
      <c r="AK277" s="6">
        <f>SUM('Model inputs'!AK278,'Model inputs'!AK279,'Model inputs'!AK280)</f>
        <v>0</v>
      </c>
    </row>
    <row r="278" outlineLevel="1">
      <c r="A278" t="inlineStr" s="24">
        <is>
          <t xml:space="preserve">Completed runs &gt; Agency</t>
        </is>
      </c>
      <c r="B278" s="9">
        <f>'Model inputs'!B11*'Model inputs'!AB367*'Model inputs'!AB384</f>
        <v>0</v>
      </c>
      <c r="C278" s="9">
        <f>'Model inputs'!C11*'Model inputs'!AB367*'Model inputs'!AB384</f>
        <v>0</v>
      </c>
      <c r="D278" s="9">
        <f>'Model inputs'!D11*'Model inputs'!AB367*'Model inputs'!AB384</f>
        <v>250</v>
      </c>
      <c r="E278" s="9">
        <f>'Model inputs'!E11*'Model inputs'!AB367*'Model inputs'!AB384</f>
        <v>487.5</v>
      </c>
      <c r="F278" s="9">
        <f>'Model inputs'!F11*'Model inputs'!AB367*'Model inputs'!AB384</f>
        <v>713.125</v>
      </c>
      <c r="G278" s="9">
        <f>'Model inputs'!G11*'Model inputs'!AB367*'Model inputs'!AB384</f>
        <v>927.4687500000001</v>
      </c>
      <c r="H278" s="9">
        <f>'Model inputs'!H11*'Model inputs'!AB367*'Model inputs'!AB384</f>
        <v>1131.0953125</v>
      </c>
      <c r="I278" s="9">
        <f>'Model inputs'!I11*'Model inputs'!AB367*'Model inputs'!AB384</f>
        <v>1324.540546875</v>
      </c>
      <c r="J278" s="9">
        <f>'Model inputs'!J11*'Model inputs'!AB367*'Model inputs'!AB384</f>
        <v>1508.31351953125</v>
      </c>
      <c r="K278" s="9">
        <f>'Model inputs'!K11*'Model inputs'!AB367*'Model inputs'!AB384</f>
        <v>1682.8978435546876</v>
      </c>
      <c r="L278" s="9">
        <f>'Model inputs'!L11*'Model inputs'!AB367*'Model inputs'!AB384</f>
        <v>1848.7529513769532</v>
      </c>
      <c r="M278" s="9">
        <f>'Model inputs'!M11*'Model inputs'!AB367*'Model inputs'!AB384</f>
        <v>2006.3153038081057</v>
      </c>
      <c r="N278" s="9">
        <f>'Model inputs'!N11*'Model inputs'!AB367*'Model inputs'!AB384</f>
        <v>2155.9995386177</v>
      </c>
      <c r="O278" s="9">
        <f>'Model inputs'!O11*'Model inputs'!AB367*'Model inputs'!AB384</f>
        <v>2298.1995616868153</v>
      </c>
      <c r="P278" s="9">
        <f>'Model inputs'!P11*'Model inputs'!AB367*'Model inputs'!AB384</f>
        <v>2433.2895836024745</v>
      </c>
      <c r="Q278" s="9">
        <f>'Model inputs'!Q11*'Model inputs'!AB367*'Model inputs'!AB384</f>
        <v>2561.625104422351</v>
      </c>
      <c r="R278" s="9">
        <f>'Model inputs'!R11*'Model inputs'!AB367*'Model inputs'!AB384</f>
        <v>2683.5438492012336</v>
      </c>
      <c r="S278" s="9">
        <f>'Model inputs'!S11*'Model inputs'!AB367*'Model inputs'!AB384</f>
        <v>2799.3666567411715</v>
      </c>
      <c r="T278" s="9">
        <f>'Model inputs'!T11*'Model inputs'!AB367*'Model inputs'!AB384</f>
        <v>2909.398323904113</v>
      </c>
      <c r="U278" s="9">
        <f>'Model inputs'!U11*'Model inputs'!AB367*'Model inputs'!AB384</f>
        <v>3013.9284077089073</v>
      </c>
      <c r="V278" s="9">
        <f>'Model inputs'!V11*'Model inputs'!AB367*'Model inputs'!AB384</f>
        <v>3113.231987323462</v>
      </c>
      <c r="W278" s="9">
        <f>'Model inputs'!W11*'Model inputs'!AB367*'Model inputs'!AB384</f>
        <v>3207.570387957289</v>
      </c>
      <c r="X278" s="9">
        <f>'Model inputs'!X11*'Model inputs'!AB367*'Model inputs'!AB384</f>
        <v>3297.1918685594246</v>
      </c>
      <c r="Y278" s="9">
        <f>'Model inputs'!Y11*'Model inputs'!AB367*'Model inputs'!AB384</f>
        <v>3382.3322751314536</v>
      </c>
      <c r="Z278" s="9">
        <f>'Model inputs'!Z11*'Model inputs'!AB367*'Model inputs'!AB384</f>
        <v>3463.215661374881</v>
      </c>
      <c r="AA278" s="9">
        <f>'Model inputs'!AA11*'Model inputs'!AB367*'Model inputs'!AB384</f>
        <v>3540.0548783061367</v>
      </c>
      <c r="AD278" s="9">
        <f>'Model inputs'!AD177*'Model inputs'!AB367*'Model inputs'!AB384</f>
        <v>0</v>
      </c>
      <c r="AE278" s="9">
        <f>'Model inputs'!AE177*'Model inputs'!AB367*'Model inputs'!AB384</f>
        <v>0</v>
      </c>
      <c r="AF278" s="9">
        <f>'Model inputs'!AF177*'Model inputs'!AB367*'Model inputs'!AB384</f>
        <v>0</v>
      </c>
      <c r="AG278" s="9">
        <f>'Model inputs'!AG177*'Model inputs'!AB367*'Model inputs'!AB384</f>
        <v>0</v>
      </c>
      <c r="AH278" s="9">
        <f>'Model inputs'!AH177*'Model inputs'!AB367*'Model inputs'!AB384</f>
        <v>0</v>
      </c>
      <c r="AI278" s="9">
        <f>'Model inputs'!AI177*'Model inputs'!AB367*'Model inputs'!AB384</f>
        <v>0</v>
      </c>
      <c r="AJ278" s="9">
        <f>'Model inputs'!AJ177*'Model inputs'!AB367*'Model inputs'!AB384</f>
        <v>0</v>
      </c>
      <c r="AK278" s="9">
        <f>'Model inputs'!AK177*'Model inputs'!AB367*'Model inputs'!AB384</f>
        <v>0</v>
      </c>
    </row>
    <row r="279" outlineLevel="1">
      <c r="A279" t="inlineStr" s="24">
        <is>
          <t xml:space="preserve">Completed runs &gt; Developer</t>
        </is>
      </c>
      <c r="B279" s="9">
        <f>'Model inputs'!B12*'Model inputs'!AB368*'Model inputs'!AB384</f>
        <v>0</v>
      </c>
      <c r="C279" s="9">
        <f>'Model inputs'!C12*'Model inputs'!AB368*'Model inputs'!AB384</f>
        <v>0</v>
      </c>
      <c r="D279" s="9">
        <f>'Model inputs'!D12*'Model inputs'!AB368*'Model inputs'!AB384</f>
        <v>50</v>
      </c>
      <c r="E279" s="9">
        <f>'Model inputs'!E12*'Model inputs'!AB368*'Model inputs'!AB384</f>
        <v>97.5</v>
      </c>
      <c r="F279" s="9">
        <f>'Model inputs'!F12*'Model inputs'!AB368*'Model inputs'!AB384</f>
        <v>142.625</v>
      </c>
      <c r="G279" s="9">
        <f>'Model inputs'!G12*'Model inputs'!AB368*'Model inputs'!AB384</f>
        <v>185.49375</v>
      </c>
      <c r="H279" s="9">
        <f>'Model inputs'!H12*'Model inputs'!AB368*'Model inputs'!AB384</f>
        <v>226.2190625</v>
      </c>
      <c r="I279" s="9">
        <f>'Model inputs'!I12*'Model inputs'!AB368*'Model inputs'!AB384</f>
        <v>264.908109375</v>
      </c>
      <c r="J279" s="9">
        <f>'Model inputs'!J12*'Model inputs'!AB368*'Model inputs'!AB384</f>
        <v>301.66270390625</v>
      </c>
      <c r="K279" s="9">
        <f>'Model inputs'!K12*'Model inputs'!AB368*'Model inputs'!AB384</f>
        <v>336.5795687109375</v>
      </c>
      <c r="L279" s="9">
        <f>'Model inputs'!L12*'Model inputs'!AB368*'Model inputs'!AB384</f>
        <v>369.7505902753906</v>
      </c>
      <c r="M279" s="9">
        <f>'Model inputs'!M12*'Model inputs'!AB368*'Model inputs'!AB384</f>
        <v>401.26306076162115</v>
      </c>
      <c r="N279" s="9">
        <f>'Model inputs'!N12*'Model inputs'!AB368*'Model inputs'!AB384</f>
        <v>431.19990772354004</v>
      </c>
      <c r="O279" s="9">
        <f>'Model inputs'!O12*'Model inputs'!AB368*'Model inputs'!AB384</f>
        <v>459.63991233736306</v>
      </c>
      <c r="P279" s="9">
        <f>'Model inputs'!P12*'Model inputs'!AB368*'Model inputs'!AB384</f>
        <v>486.65791672049494</v>
      </c>
      <c r="Q279" s="9">
        <f>'Model inputs'!Q12*'Model inputs'!AB368*'Model inputs'!AB384</f>
        <v>512.3250208844702</v>
      </c>
      <c r="R279" s="9">
        <f>'Model inputs'!R12*'Model inputs'!AB368*'Model inputs'!AB384</f>
        <v>536.7087698402468</v>
      </c>
      <c r="S279" s="9">
        <f>'Model inputs'!S12*'Model inputs'!AB368*'Model inputs'!AB384</f>
        <v>559.8733313482344</v>
      </c>
      <c r="T279" s="9">
        <f>'Model inputs'!T12*'Model inputs'!AB368*'Model inputs'!AB384</f>
        <v>581.8796647808226</v>
      </c>
      <c r="U279" s="9">
        <f>'Model inputs'!U12*'Model inputs'!AB368*'Model inputs'!AB384</f>
        <v>602.7856815417815</v>
      </c>
      <c r="V279" s="9">
        <f>'Model inputs'!V12*'Model inputs'!AB368*'Model inputs'!AB384</f>
        <v>622.6463974646924</v>
      </c>
      <c r="W279" s="9">
        <f>'Model inputs'!W12*'Model inputs'!AB368*'Model inputs'!AB384</f>
        <v>641.5140775914577</v>
      </c>
      <c r="X279" s="9">
        <f>'Model inputs'!X12*'Model inputs'!AB368*'Model inputs'!AB384</f>
        <v>659.4383737118849</v>
      </c>
      <c r="Y279" s="9">
        <f>'Model inputs'!Y12*'Model inputs'!AB368*'Model inputs'!AB384</f>
        <v>676.4664550262908</v>
      </c>
      <c r="Z279" s="9">
        <f>'Model inputs'!Z12*'Model inputs'!AB368*'Model inputs'!AB384</f>
        <v>692.6431322749762</v>
      </c>
      <c r="AA279" s="9">
        <f>'Model inputs'!AA12*'Model inputs'!AB368*'Model inputs'!AB384</f>
        <v>708.0109756612273</v>
      </c>
      <c r="AD279" s="9">
        <f>'Model inputs'!AD178*'Model inputs'!AB368*'Model inputs'!AB384</f>
        <v>0</v>
      </c>
      <c r="AE279" s="9">
        <f>'Model inputs'!AE178*'Model inputs'!AB368*'Model inputs'!AB384</f>
        <v>0</v>
      </c>
      <c r="AF279" s="9">
        <f>'Model inputs'!AF178*'Model inputs'!AB368*'Model inputs'!AB384</f>
        <v>0</v>
      </c>
      <c r="AG279" s="9">
        <f>'Model inputs'!AG178*'Model inputs'!AB368*'Model inputs'!AB384</f>
        <v>0</v>
      </c>
      <c r="AH279" s="9">
        <f>'Model inputs'!AH178*'Model inputs'!AB368*'Model inputs'!AB384</f>
        <v>0</v>
      </c>
      <c r="AI279" s="9">
        <f>'Model inputs'!AI178*'Model inputs'!AB368*'Model inputs'!AB384</f>
        <v>0</v>
      </c>
      <c r="AJ279" s="9">
        <f>'Model inputs'!AJ178*'Model inputs'!AB368*'Model inputs'!AB384</f>
        <v>0</v>
      </c>
      <c r="AK279" s="9">
        <f>'Model inputs'!AK178*'Model inputs'!AB368*'Model inputs'!AB384</f>
        <v>0</v>
      </c>
    </row>
    <row r="280" outlineLevel="1">
      <c r="A280" t="inlineStr" s="24">
        <is>
          <t xml:space="preserve">Completed runs &gt; Team</t>
        </is>
      </c>
      <c r="B280" s="9">
        <f>'Model inputs'!B13*'Model inputs'!AB369*'Model inputs'!AB384</f>
        <v>0</v>
      </c>
      <c r="C280" s="9">
        <f>'Model inputs'!C13*'Model inputs'!AB369*'Model inputs'!AB384</f>
        <v>0</v>
      </c>
      <c r="D280" s="9">
        <f>'Model inputs'!D13*'Model inputs'!AB369*'Model inputs'!AB384</f>
        <v>250</v>
      </c>
      <c r="E280" s="9">
        <f>'Model inputs'!E13*'Model inputs'!AB369*'Model inputs'!AB384</f>
        <v>487.5</v>
      </c>
      <c r="F280" s="9">
        <f>'Model inputs'!F13*'Model inputs'!AB369*'Model inputs'!AB384</f>
        <v>713.125</v>
      </c>
      <c r="G280" s="9">
        <f>'Model inputs'!G13*'Model inputs'!AB369*'Model inputs'!AB384</f>
        <v>927.4687500000001</v>
      </c>
      <c r="H280" s="9">
        <f>'Model inputs'!H13*'Model inputs'!AB369*'Model inputs'!AB384</f>
        <v>1131.0953125</v>
      </c>
      <c r="I280" s="9">
        <f>'Model inputs'!I13*'Model inputs'!AB369*'Model inputs'!AB384</f>
        <v>1324.540546875</v>
      </c>
      <c r="J280" s="9">
        <f>'Model inputs'!J13*'Model inputs'!AB369*'Model inputs'!AB384</f>
        <v>1508.31351953125</v>
      </c>
      <c r="K280" s="9">
        <f>'Model inputs'!K13*'Model inputs'!AB369*'Model inputs'!AB384</f>
        <v>1682.8978435546876</v>
      </c>
      <c r="L280" s="9">
        <f>'Model inputs'!L13*'Model inputs'!AB369*'Model inputs'!AB384</f>
        <v>1848.7529513769532</v>
      </c>
      <c r="M280" s="9">
        <f>'Model inputs'!M13*'Model inputs'!AB369*'Model inputs'!AB384</f>
        <v>2006.3153038081057</v>
      </c>
      <c r="N280" s="9">
        <f>'Model inputs'!N13*'Model inputs'!AB369*'Model inputs'!AB384</f>
        <v>2155.9995386177</v>
      </c>
      <c r="O280" s="9">
        <f>'Model inputs'!O13*'Model inputs'!AB369*'Model inputs'!AB384</f>
        <v>2298.1995616868153</v>
      </c>
      <c r="P280" s="9">
        <f>'Model inputs'!P13*'Model inputs'!AB369*'Model inputs'!AB384</f>
        <v>2433.2895836024745</v>
      </c>
      <c r="Q280" s="9">
        <f>'Model inputs'!Q13*'Model inputs'!AB369*'Model inputs'!AB384</f>
        <v>2561.625104422351</v>
      </c>
      <c r="R280" s="9">
        <f>'Model inputs'!R13*'Model inputs'!AB369*'Model inputs'!AB384</f>
        <v>2683.5438492012336</v>
      </c>
      <c r="S280" s="9">
        <f>'Model inputs'!S13*'Model inputs'!AB369*'Model inputs'!AB384</f>
        <v>2799.3666567411715</v>
      </c>
      <c r="T280" s="9">
        <f>'Model inputs'!T13*'Model inputs'!AB369*'Model inputs'!AB384</f>
        <v>2909.398323904113</v>
      </c>
      <c r="U280" s="9">
        <f>'Model inputs'!U13*'Model inputs'!AB369*'Model inputs'!AB384</f>
        <v>3013.9284077089073</v>
      </c>
      <c r="V280" s="9">
        <f>'Model inputs'!V13*'Model inputs'!AB369*'Model inputs'!AB384</f>
        <v>3113.231987323462</v>
      </c>
      <c r="W280" s="9">
        <f>'Model inputs'!W13*'Model inputs'!AB369*'Model inputs'!AB384</f>
        <v>3207.570387957289</v>
      </c>
      <c r="X280" s="9">
        <f>'Model inputs'!X13*'Model inputs'!AB369*'Model inputs'!AB384</f>
        <v>3297.1918685594246</v>
      </c>
      <c r="Y280" s="9">
        <f>'Model inputs'!Y13*'Model inputs'!AB369*'Model inputs'!AB384</f>
        <v>3382.3322751314536</v>
      </c>
      <c r="Z280" s="9">
        <f>'Model inputs'!Z13*'Model inputs'!AB369*'Model inputs'!AB384</f>
        <v>3463.215661374881</v>
      </c>
      <c r="AA280" s="9">
        <f>'Model inputs'!AA13*'Model inputs'!AB369*'Model inputs'!AB384</f>
        <v>3540.0548783061367</v>
      </c>
      <c r="AD280" s="9">
        <f>'Model inputs'!AD179*'Model inputs'!AB369*'Model inputs'!AB384</f>
        <v>0</v>
      </c>
      <c r="AE280" s="9">
        <f>'Model inputs'!AE179*'Model inputs'!AB369*'Model inputs'!AB384</f>
        <v>0</v>
      </c>
      <c r="AF280" s="9">
        <f>'Model inputs'!AF179*'Model inputs'!AB369*'Model inputs'!AB384</f>
        <v>0</v>
      </c>
      <c r="AG280" s="9">
        <f>'Model inputs'!AG179*'Model inputs'!AB369*'Model inputs'!AB384</f>
        <v>0</v>
      </c>
      <c r="AH280" s="9">
        <f>'Model inputs'!AH179*'Model inputs'!AB369*'Model inputs'!AB384</f>
        <v>0</v>
      </c>
      <c r="AI280" s="9">
        <f>'Model inputs'!AI179*'Model inputs'!AB369*'Model inputs'!AB384</f>
        <v>0</v>
      </c>
      <c r="AJ280" s="9">
        <f>'Model inputs'!AJ179*'Model inputs'!AB369*'Model inputs'!AB384</f>
        <v>0</v>
      </c>
      <c r="AK280" s="9">
        <f>'Model inputs'!AK179*'Model inputs'!AB369*'Model inputs'!AB384</f>
        <v>0</v>
      </c>
    </row>
    <row r="281">
      <c r="A281" t="inlineStr" s="23">
        <is>
          <t xml:space="preserve">Completed runs</t>
        </is>
      </c>
      <c r="B281" s="6">
        <f>SUM('Model inputs'!B282,'Model inputs'!B283,'Model inputs'!B284)</f>
        <v>0</v>
      </c>
      <c r="C281" s="6">
        <f>SUM('Model inputs'!C282,'Model inputs'!C283,'Model inputs'!C284)</f>
        <v>0</v>
      </c>
      <c r="D281" s="6">
        <f>SUM('Model inputs'!D282,'Model inputs'!D283,'Model inputs'!D284)</f>
        <v>1950</v>
      </c>
      <c r="E281" s="6">
        <f>SUM('Model inputs'!E282,'Model inputs'!E283,'Model inputs'!E284)</f>
        <v>4017</v>
      </c>
      <c r="F281" s="6">
        <f>SUM('Model inputs'!F282,'Model inputs'!F283,'Model inputs'!F284)</f>
        <v>6211.14</v>
      </c>
      <c r="G281" s="6">
        <f>SUM('Model inputs'!G282,'Model inputs'!G283,'Model inputs'!G284)</f>
        <v>8543.3556</v>
      </c>
      <c r="H281" s="6">
        <f>SUM('Model inputs'!H282,'Model inputs'!H283,'Model inputs'!H284)</f>
        <v>11025.441960000002</v>
      </c>
      <c r="I281" s="6">
        <f>SUM('Model inputs'!I282,'Model inputs'!I283,'Model inputs'!I284)</f>
        <v>13670.122870560004</v>
      </c>
      <c r="J281" s="6">
        <f>SUM('Model inputs'!J282,'Model inputs'!J283,'Model inputs'!J284)</f>
        <v>16491.125342889605</v>
      </c>
      <c r="K281" s="6">
        <f>SUM('Model inputs'!K282,'Model inputs'!K283,'Model inputs'!K284)</f>
        <v>19503.260160151876</v>
      </c>
      <c r="L281" s="6">
        <f>SUM('Model inputs'!L282,'Model inputs'!L283,'Model inputs'!L284)</f>
        <v>22722.508866998513</v>
      </c>
      <c r="M281" s="6">
        <f>SUM('Model inputs'!M282,'Model inputs'!M283,'Model inputs'!M284)</f>
        <v>26166.117712512187</v>
      </c>
      <c r="N281" s="6">
        <f>SUM('Model inputs'!N282,'Model inputs'!N283,'Model inputs'!N284)</f>
        <v>29852.69910294388</v>
      </c>
      <c r="O281" s="6">
        <f>SUM('Model inputs'!O282,'Model inputs'!O283,'Model inputs'!O284)</f>
        <v>33802.34116514149</v>
      </c>
      <c r="P281" s="6">
        <f>SUM('Model inputs'!P282,'Model inputs'!P283,'Model inputs'!P284)</f>
        <v>38036.72606963568</v>
      </c>
      <c r="Q281" s="6">
        <f>SUM('Model inputs'!Q282,'Model inputs'!Q283,'Model inputs'!Q284)</f>
        <v>42579.257814263736</v>
      </c>
      <c r="R281" s="6">
        <f>SUM('Model inputs'!R282,'Model inputs'!R283,'Model inputs'!R284)</f>
        <v>47455.2002252809</v>
      </c>
      <c r="S281" s="6">
        <f>SUM('Model inputs'!S282,'Model inputs'!S283,'Model inputs'!S284)</f>
        <v>52691.82599346191</v>
      </c>
      <c r="T281" s="6">
        <f>SUM('Model inputs'!T282,'Model inputs'!T283,'Model inputs'!T284)</f>
        <v>58318.57762809424</v>
      </c>
      <c r="U281" s="6">
        <f>SUM('Model inputs'!U282,'Model inputs'!U283,'Model inputs'!U284)</f>
        <v>64367.24128239404</v>
      </c>
      <c r="V281" s="6">
        <f>SUM('Model inputs'!V282,'Model inputs'!V283,'Model inputs'!V284)</f>
        <v>70872.13448015678</v>
      </c>
      <c r="W281" s="6">
        <f>SUM('Model inputs'!W282,'Model inputs'!W283,'Model inputs'!W284)</f>
        <v>77870.30885583712</v>
      </c>
      <c r="X281" s="6">
        <f>SUM('Model inputs'!X282,'Model inputs'!X283,'Model inputs'!X284)</f>
        <v>85401.76910922653</v>
      </c>
      <c r="Y281" s="6">
        <f>SUM('Model inputs'!Y282,'Model inputs'!Y283,'Model inputs'!Y284)</f>
        <v>93509.70947198864</v>
      </c>
      <c r="Z281" s="6">
        <f>SUM('Model inputs'!Z282,'Model inputs'!Z283,'Model inputs'!Z284)</f>
        <v>102240.76908709123</v>
      </c>
      <c r="AA281" s="6">
        <f>SUM('Model inputs'!AA282,'Model inputs'!AA283,'Model inputs'!AA284)</f>
        <v>111645.30781425518</v>
      </c>
      <c r="AD281" s="6">
        <f>SUM('Model inputs'!AD282,'Model inputs'!AD283,'Model inputs'!AD284)</f>
        <v>0</v>
      </c>
      <c r="AE281" s="6">
        <f>SUM('Model inputs'!AE282,'Model inputs'!AE283,'Model inputs'!AE284)</f>
        <v>0</v>
      </c>
      <c r="AF281" s="6">
        <f>SUM('Model inputs'!AF282,'Model inputs'!AF283,'Model inputs'!AF284)</f>
        <v>0</v>
      </c>
      <c r="AG281" s="6">
        <f>SUM('Model inputs'!AG282,'Model inputs'!AG283,'Model inputs'!AG284)</f>
        <v>0</v>
      </c>
      <c r="AH281" s="6">
        <f>SUM('Model inputs'!AH282,'Model inputs'!AH283,'Model inputs'!AH284)</f>
        <v>0</v>
      </c>
      <c r="AI281" s="6">
        <f>SUM('Model inputs'!AI282,'Model inputs'!AI283,'Model inputs'!AI284)</f>
        <v>0</v>
      </c>
      <c r="AJ281" s="6">
        <f>SUM('Model inputs'!AJ282,'Model inputs'!AJ283,'Model inputs'!AJ284)</f>
        <v>0</v>
      </c>
      <c r="AK281" s="6">
        <f>SUM('Model inputs'!AK282,'Model inputs'!AK283,'Model inputs'!AK284)</f>
        <v>0</v>
      </c>
    </row>
    <row r="282" outlineLevel="1">
      <c r="A282" t="inlineStr" s="24">
        <is>
          <t xml:space="preserve">Completed runs &gt; Agency</t>
        </is>
      </c>
      <c r="B282" s="9">
        <f>'Model inputs'!B15*'Model inputs'!AB371*'Model inputs'!AB385</f>
        <v>0</v>
      </c>
      <c r="C282" s="9">
        <f>'Model inputs'!C15*'Model inputs'!AB371*'Model inputs'!AB385</f>
        <v>0</v>
      </c>
      <c r="D282" s="9">
        <f>'Model inputs'!D15*'Model inputs'!AB371*'Model inputs'!AB385</f>
        <v>1000</v>
      </c>
      <c r="E282" s="9">
        <f>'Model inputs'!E15*'Model inputs'!AB371*'Model inputs'!AB385</f>
        <v>2060</v>
      </c>
      <c r="F282" s="9">
        <f>'Model inputs'!F15*'Model inputs'!AB371*'Model inputs'!AB385</f>
        <v>3185.2</v>
      </c>
      <c r="G282" s="9">
        <f>'Model inputs'!G15*'Model inputs'!AB371*'Model inputs'!AB385</f>
        <v>4381.208</v>
      </c>
      <c r="H282" s="9">
        <f>'Model inputs'!H15*'Model inputs'!AB371*'Model inputs'!AB385</f>
        <v>5654.072800000001</v>
      </c>
      <c r="I282" s="9">
        <f>'Model inputs'!I15*'Model inputs'!AB371*'Model inputs'!AB385</f>
        <v>7010.319420800002</v>
      </c>
      <c r="J282" s="9">
        <f>'Model inputs'!J15*'Model inputs'!AB371*'Model inputs'!AB385</f>
        <v>8456.987355328001</v>
      </c>
      <c r="K282" s="9">
        <f>'Model inputs'!K15*'Model inputs'!AB371*'Model inputs'!AB385</f>
        <v>10001.671877000963</v>
      </c>
      <c r="L282" s="9">
        <f>'Model inputs'!L15*'Model inputs'!AB371*'Model inputs'!AB385</f>
        <v>11652.568649742825</v>
      </c>
      <c r="M282" s="9">
        <f>'Model inputs'!M15*'Model inputs'!AB371*'Model inputs'!AB385</f>
        <v>13418.521903852403</v>
      </c>
      <c r="N282" s="9">
        <f>'Model inputs'!N15*'Model inputs'!AB371*'Model inputs'!AB385</f>
        <v>15309.076463048143</v>
      </c>
      <c r="O282" s="9">
        <f>'Model inputs'!O15*'Model inputs'!AB371*'Model inputs'!AB385</f>
        <v>17334.53393084179</v>
      </c>
      <c r="P282" s="9">
        <f>'Model inputs'!P15*'Model inputs'!AB371*'Model inputs'!AB385</f>
        <v>19506.013369043936</v>
      </c>
      <c r="Q282" s="9">
        <f>'Model inputs'!Q15*'Model inputs'!AB371*'Model inputs'!AB385</f>
        <v>21835.516827827556</v>
      </c>
      <c r="R282" s="9">
        <f>'Model inputs'!R15*'Model inputs'!AB371*'Model inputs'!AB385</f>
        <v>24336.000115528666</v>
      </c>
      <c r="S282" s="9">
        <f>'Model inputs'!S15*'Model inputs'!AB371*'Model inputs'!AB385</f>
        <v>27021.449227416364</v>
      </c>
      <c r="T282" s="9">
        <f>'Model inputs'!T15*'Model inputs'!AB371*'Model inputs'!AB385</f>
        <v>29906.962886202175</v>
      </c>
      <c r="U282" s="9">
        <f>'Model inputs'!U15*'Model inputs'!AB371*'Model inputs'!AB385</f>
        <v>33008.841683278995</v>
      </c>
      <c r="V282" s="9">
        <f>'Model inputs'!V15*'Model inputs'!AB371*'Model inputs'!AB385</f>
        <v>36344.68434879834</v>
      </c>
      <c r="W282" s="9">
        <f>'Model inputs'!W15*'Model inputs'!AB371*'Model inputs'!AB385</f>
        <v>39933.49172094211</v>
      </c>
      <c r="X282" s="9">
        <f>'Model inputs'!X15*'Model inputs'!AB371*'Model inputs'!AB385</f>
        <v>43795.77903037257</v>
      </c>
      <c r="Y282" s="9">
        <f>'Model inputs'!Y15*'Model inputs'!AB371*'Model inputs'!AB385</f>
        <v>47953.69716512237</v>
      </c>
      <c r="Z282" s="9">
        <f>'Model inputs'!Z15*'Model inputs'!AB371*'Model inputs'!AB385</f>
        <v>52431.163634405755</v>
      </c>
      <c r="AA282" s="9">
        <f>'Model inputs'!AA15*'Model inputs'!AB371*'Model inputs'!AB385</f>
        <v>57254.004007310345</v>
      </c>
      <c r="AD282" s="9">
        <f>'Model inputs'!AD181*'Model inputs'!AB371*'Model inputs'!AB385</f>
        <v>0</v>
      </c>
      <c r="AE282" s="9">
        <f>'Model inputs'!AE181*'Model inputs'!AB371*'Model inputs'!AB385</f>
        <v>0</v>
      </c>
      <c r="AF282" s="9">
        <f>'Model inputs'!AF181*'Model inputs'!AB371*'Model inputs'!AB385</f>
        <v>0</v>
      </c>
      <c r="AG282" s="9">
        <f>'Model inputs'!AG181*'Model inputs'!AB371*'Model inputs'!AB385</f>
        <v>0</v>
      </c>
      <c r="AH282" s="9">
        <f>'Model inputs'!AH181*'Model inputs'!AB371*'Model inputs'!AB385</f>
        <v>0</v>
      </c>
      <c r="AI282" s="9">
        <f>'Model inputs'!AI181*'Model inputs'!AB371*'Model inputs'!AB385</f>
        <v>0</v>
      </c>
      <c r="AJ282" s="9">
        <f>'Model inputs'!AJ181*'Model inputs'!AB371*'Model inputs'!AB385</f>
        <v>0</v>
      </c>
      <c r="AK282" s="9">
        <f>'Model inputs'!AK181*'Model inputs'!AB371*'Model inputs'!AB385</f>
        <v>0</v>
      </c>
    </row>
    <row r="283" outlineLevel="1">
      <c r="A283" t="inlineStr" s="24">
        <is>
          <t xml:space="preserve">Completed runs &gt; Developer</t>
        </is>
      </c>
      <c r="B283" s="9">
        <f>'Model inputs'!B16*'Model inputs'!AB372*'Model inputs'!AB385</f>
        <v>0</v>
      </c>
      <c r="C283" s="9">
        <f>'Model inputs'!C16*'Model inputs'!AB372*'Model inputs'!AB385</f>
        <v>0</v>
      </c>
      <c r="D283" s="9">
        <f>'Model inputs'!D16*'Model inputs'!AB372*'Model inputs'!AB385</f>
        <v>200</v>
      </c>
      <c r="E283" s="9">
        <f>'Model inputs'!E16*'Model inputs'!AB372*'Model inputs'!AB385</f>
        <v>412</v>
      </c>
      <c r="F283" s="9">
        <f>'Model inputs'!F16*'Model inputs'!AB372*'Model inputs'!AB385</f>
        <v>637.04</v>
      </c>
      <c r="G283" s="9">
        <f>'Model inputs'!G16*'Model inputs'!AB372*'Model inputs'!AB385</f>
        <v>876.2416</v>
      </c>
      <c r="H283" s="9">
        <f>'Model inputs'!H16*'Model inputs'!AB372*'Model inputs'!AB385</f>
        <v>1130.81456</v>
      </c>
      <c r="I283" s="9">
        <f>'Model inputs'!I16*'Model inputs'!AB372*'Model inputs'!AB385</f>
        <v>1402.0638841600003</v>
      </c>
      <c r="J283" s="9">
        <f>'Model inputs'!J16*'Model inputs'!AB372*'Model inputs'!AB385</f>
        <v>1691.3974710656003</v>
      </c>
      <c r="K283" s="9">
        <f>'Model inputs'!K16*'Model inputs'!AB372*'Model inputs'!AB385</f>
        <v>2000.3343754001926</v>
      </c>
      <c r="L283" s="9">
        <f>'Model inputs'!L16*'Model inputs'!AB372*'Model inputs'!AB385</f>
        <v>2330.513729948565</v>
      </c>
      <c r="M283" s="9">
        <f>'Model inputs'!M16*'Model inputs'!AB372*'Model inputs'!AB385</f>
        <v>2683.7043807704804</v>
      </c>
      <c r="N283" s="9">
        <f>'Model inputs'!N16*'Model inputs'!AB372*'Model inputs'!AB385</f>
        <v>3061.8152926096286</v>
      </c>
      <c r="O283" s="9">
        <f>'Model inputs'!O16*'Model inputs'!AB372*'Model inputs'!AB385</f>
        <v>3466.906786168358</v>
      </c>
      <c r="P283" s="9">
        <f>'Model inputs'!P16*'Model inputs'!AB372*'Model inputs'!AB385</f>
        <v>3901.2026738087875</v>
      </c>
      <c r="Q283" s="9">
        <f>'Model inputs'!Q16*'Model inputs'!AB372*'Model inputs'!AB385</f>
        <v>4367.103365565512</v>
      </c>
      <c r="R283" s="9">
        <f>'Model inputs'!R16*'Model inputs'!AB372*'Model inputs'!AB385</f>
        <v>4867.200023105734</v>
      </c>
      <c r="S283" s="9">
        <f>'Model inputs'!S16*'Model inputs'!AB372*'Model inputs'!AB385</f>
        <v>5404.289845483273</v>
      </c>
      <c r="T283" s="9">
        <f>'Model inputs'!T16*'Model inputs'!AB372*'Model inputs'!AB385</f>
        <v>5981.392577240435</v>
      </c>
      <c r="U283" s="9">
        <f>'Model inputs'!U16*'Model inputs'!AB372*'Model inputs'!AB385</f>
        <v>6601.7683366557985</v>
      </c>
      <c r="V283" s="9">
        <f>'Model inputs'!V16*'Model inputs'!AB372*'Model inputs'!AB385</f>
        <v>7268.936869759669</v>
      </c>
      <c r="W283" s="9">
        <f>'Model inputs'!W16*'Model inputs'!AB372*'Model inputs'!AB385</f>
        <v>7986.698344188421</v>
      </c>
      <c r="X283" s="9">
        <f>'Model inputs'!X16*'Model inputs'!AB372*'Model inputs'!AB385</f>
        <v>8759.155806074514</v>
      </c>
      <c r="Y283" s="9">
        <f>'Model inputs'!Y16*'Model inputs'!AB372*'Model inputs'!AB385</f>
        <v>9590.739433024473</v>
      </c>
      <c r="Z283" s="9">
        <f>'Model inputs'!Z16*'Model inputs'!AB372*'Model inputs'!AB385</f>
        <v>10486.232726881151</v>
      </c>
      <c r="AA283" s="9">
        <f>'Model inputs'!AA16*'Model inputs'!AB372*'Model inputs'!AB385</f>
        <v>11450.800801462068</v>
      </c>
      <c r="AD283" s="9">
        <f>'Model inputs'!AD182*'Model inputs'!AB372*'Model inputs'!AB385</f>
        <v>0</v>
      </c>
      <c r="AE283" s="9">
        <f>'Model inputs'!AE182*'Model inputs'!AB372*'Model inputs'!AB385</f>
        <v>0</v>
      </c>
      <c r="AF283" s="9">
        <f>'Model inputs'!AF182*'Model inputs'!AB372*'Model inputs'!AB385</f>
        <v>0</v>
      </c>
      <c r="AG283" s="9">
        <f>'Model inputs'!AG182*'Model inputs'!AB372*'Model inputs'!AB385</f>
        <v>0</v>
      </c>
      <c r="AH283" s="9">
        <f>'Model inputs'!AH182*'Model inputs'!AB372*'Model inputs'!AB385</f>
        <v>0</v>
      </c>
      <c r="AI283" s="9">
        <f>'Model inputs'!AI182*'Model inputs'!AB372*'Model inputs'!AB385</f>
        <v>0</v>
      </c>
      <c r="AJ283" s="9">
        <f>'Model inputs'!AJ182*'Model inputs'!AB372*'Model inputs'!AB385</f>
        <v>0</v>
      </c>
      <c r="AK283" s="9">
        <f>'Model inputs'!AK182*'Model inputs'!AB372*'Model inputs'!AB385</f>
        <v>0</v>
      </c>
    </row>
    <row r="284" outlineLevel="1">
      <c r="A284" t="inlineStr" s="24">
        <is>
          <t xml:space="preserve">Completed runs &gt; Team</t>
        </is>
      </c>
      <c r="B284" s="9">
        <f>'Model inputs'!B17*'Model inputs'!AB373*'Model inputs'!AB385</f>
        <v>0</v>
      </c>
      <c r="C284" s="9">
        <f>'Model inputs'!C17*'Model inputs'!AB373*'Model inputs'!AB385</f>
        <v>0</v>
      </c>
      <c r="D284" s="9">
        <f>'Model inputs'!D17*'Model inputs'!AB373*'Model inputs'!AB385</f>
        <v>750</v>
      </c>
      <c r="E284" s="9">
        <f>'Model inputs'!E17*'Model inputs'!AB373*'Model inputs'!AB385</f>
        <v>1545.0000000000002</v>
      </c>
      <c r="F284" s="9">
        <f>'Model inputs'!F17*'Model inputs'!AB373*'Model inputs'!AB385</f>
        <v>2388.9000000000005</v>
      </c>
      <c r="G284" s="9">
        <f>'Model inputs'!G17*'Model inputs'!AB373*'Model inputs'!AB385</f>
        <v>3285.906000000001</v>
      </c>
      <c r="H284" s="9">
        <f>'Model inputs'!H17*'Model inputs'!AB373*'Model inputs'!AB385</f>
        <v>4240.554600000001</v>
      </c>
      <c r="I284" s="9">
        <f>'Model inputs'!I17*'Model inputs'!AB373*'Model inputs'!AB385</f>
        <v>5257.739565600002</v>
      </c>
      <c r="J284" s="9">
        <f>'Model inputs'!J17*'Model inputs'!AB373*'Model inputs'!AB385</f>
        <v>6342.740516496003</v>
      </c>
      <c r="K284" s="9">
        <f>'Model inputs'!K17*'Model inputs'!AB373*'Model inputs'!AB385</f>
        <v>7501.253907750723</v>
      </c>
      <c r="L284" s="9">
        <f>'Model inputs'!L17*'Model inputs'!AB373*'Model inputs'!AB385</f>
        <v>8739.42648730712</v>
      </c>
      <c r="M284" s="9">
        <f>'Model inputs'!M17*'Model inputs'!AB373*'Model inputs'!AB385</f>
        <v>10063.891427889304</v>
      </c>
      <c r="N284" s="9">
        <f>'Model inputs'!N17*'Model inputs'!AB373*'Model inputs'!AB385</f>
        <v>11481.80734728611</v>
      </c>
      <c r="O284" s="9">
        <f>'Model inputs'!O17*'Model inputs'!AB373*'Model inputs'!AB385</f>
        <v>13000.900448131346</v>
      </c>
      <c r="P284" s="9">
        <f>'Model inputs'!P17*'Model inputs'!AB373*'Model inputs'!AB385</f>
        <v>14629.510026782955</v>
      </c>
      <c r="Q284" s="9">
        <f>'Model inputs'!Q17*'Model inputs'!AB373*'Model inputs'!AB385</f>
        <v>16376.637620870668</v>
      </c>
      <c r="R284" s="9">
        <f>'Model inputs'!R17*'Model inputs'!AB373*'Model inputs'!AB385</f>
        <v>18252.0000866465</v>
      </c>
      <c r="S284" s="9">
        <f>'Model inputs'!S17*'Model inputs'!AB373*'Model inputs'!AB385</f>
        <v>20266.086920562277</v>
      </c>
      <c r="T284" s="9">
        <f>'Model inputs'!T17*'Model inputs'!AB373*'Model inputs'!AB385</f>
        <v>22430.22216465163</v>
      </c>
      <c r="U284" s="9">
        <f>'Model inputs'!U17*'Model inputs'!AB373*'Model inputs'!AB385</f>
        <v>24756.631262459246</v>
      </c>
      <c r="V284" s="9">
        <f>'Model inputs'!V17*'Model inputs'!AB373*'Model inputs'!AB385</f>
        <v>27258.513261598764</v>
      </c>
      <c r="W284" s="9">
        <f>'Model inputs'!W17*'Model inputs'!AB373*'Model inputs'!AB385</f>
        <v>29950.118790706587</v>
      </c>
      <c r="X284" s="9">
        <f>'Model inputs'!X17*'Model inputs'!AB373*'Model inputs'!AB385</f>
        <v>32846.83427277944</v>
      </c>
      <c r="Y284" s="9">
        <f>'Model inputs'!Y17*'Model inputs'!AB373*'Model inputs'!AB385</f>
        <v>35965.27287384179</v>
      </c>
      <c r="Z284" s="9">
        <f>'Model inputs'!Z17*'Model inputs'!AB373*'Model inputs'!AB385</f>
        <v>39323.37272580434</v>
      </c>
      <c r="AA284" s="9">
        <f>'Model inputs'!AA17*'Model inputs'!AB373*'Model inputs'!AB385</f>
        <v>42940.50300548277</v>
      </c>
      <c r="AD284" s="9">
        <f>'Model inputs'!AD183*'Model inputs'!AB373*'Model inputs'!AB385</f>
        <v>0</v>
      </c>
      <c r="AE284" s="9">
        <f>'Model inputs'!AE183*'Model inputs'!AB373*'Model inputs'!AB385</f>
        <v>0</v>
      </c>
      <c r="AF284" s="9">
        <f>'Model inputs'!AF183*'Model inputs'!AB373*'Model inputs'!AB385</f>
        <v>0</v>
      </c>
      <c r="AG284" s="9">
        <f>'Model inputs'!AG183*'Model inputs'!AB373*'Model inputs'!AB385</f>
        <v>0</v>
      </c>
      <c r="AH284" s="9">
        <f>'Model inputs'!AH183*'Model inputs'!AB373*'Model inputs'!AB385</f>
        <v>0</v>
      </c>
      <c r="AI284" s="9">
        <f>'Model inputs'!AI183*'Model inputs'!AB373*'Model inputs'!AB385</f>
        <v>0</v>
      </c>
      <c r="AJ284" s="9">
        <f>'Model inputs'!AJ183*'Model inputs'!AB373*'Model inputs'!AB385</f>
        <v>0</v>
      </c>
      <c r="AK284" s="9">
        <f>'Model inputs'!AK183*'Model inputs'!AB373*'Model inputs'!AB385</f>
        <v>0</v>
      </c>
    </row>
    <row r="285">
      <c r="A285" t="inlineStr" s="23">
        <is>
          <t xml:space="preserve">Estimated cost per completed run · Run delivery costs · Contribution · CheckoutGuard — Conservative · CheckoutGuard — Conservative · CheckoutGuard — Conservative</t>
        </is>
      </c>
      <c r="AB285" s="10">
        <f>'Model inputs'!AB346+'Model inputs'!AB348+'Model inputs'!AB362+'Model inputs'!AB364+'Model inputs'!AB388+'Model inputs'!AB386</f>
        <v>0.0190856</v>
      </c>
    </row>
    <row r="286">
      <c r="A286" t="inlineStr" s="23">
        <is>
          <t xml:space="preserve">Estimated cost per completed run · Run delivery costs · Contribution · CheckoutGuard — Growth · CheckoutGuard — Growth · CheckoutGuard — Growth</t>
        </is>
      </c>
      <c r="AB286" s="10">
        <f>'Model inputs'!AB347+'Model inputs'!AB349+'Model inputs'!AB363+'Model inputs'!AB365+'Model inputs'!AB389+'Model inputs'!AB387</f>
        <v>0.0190856</v>
      </c>
    </row>
    <row r="287">
      <c r="A287" t="inlineStr" s="23">
        <is>
          <t xml:space="preserve">Monthly churn · Lost subscriptions · CheckoutGuard — Conservative · CheckoutGuard — Conservative</t>
        </is>
      </c>
      <c r="AB287" s="18">
        <f>0.05</f>
        <v>0.05</v>
      </c>
    </row>
    <row r="288">
      <c r="A288" t="inlineStr" s="23">
        <is>
          <t xml:space="preserve">Monthly churn · Lost subscriptions · CheckoutGuard — Growth · CheckoutGuard — Growth</t>
        </is>
      </c>
      <c r="AB288" s="18">
        <f>0.02</f>
        <v>0.02</v>
      </c>
    </row>
    <row r="289">
      <c r="A289" t="inlineStr" s="23">
        <is>
          <t xml:space="preserve">Operating result · Cumulative operating result · CheckoutGuard — Business plan · Conservative base growth comparison — assumptions · Main Scenario · Main Scenario</t>
        </is>
      </c>
      <c r="B289" s="14">
        <f>IF('Model inputs'!B68="","",'Model inputs'!B68)</f>
        <v>0</v>
      </c>
      <c r="C289" s="14">
        <f>IF('Model inputs'!C68="","",'Model inputs'!C68)</f>
        <v>0</v>
      </c>
      <c r="D289" s="14">
        <f>IF('Model inputs'!D68="","",'Model inputs'!D68)</f>
        <v>-6479.00916</v>
      </c>
      <c r="E289" s="14">
        <f>IF('Model inputs'!E68="","",'Model inputs'!E68)</f>
        <v>-6151.5985032</v>
      </c>
      <c r="F289" s="14">
        <f>IF('Model inputs'!F68="","",'Model inputs'!F68)</f>
        <v>-5817.158147004</v>
      </c>
      <c r="G289" s="14">
        <f>IF('Model inputs'!G68="","",'Model inputs'!G68)</f>
        <v>-5475.05638143888</v>
      </c>
      <c r="H289" s="14">
        <f>IF('Model inputs'!H68="","",'Model inputs'!H68)</f>
        <v>-5124.638317782963</v>
      </c>
      <c r="I289" s="14">
        <f>IF('Model inputs'!I68="","",'Model inputs'!I68)</f>
        <v>-4765.224477426087</v>
      </c>
      <c r="J289" s="14">
        <f>IF('Model inputs'!J68="","",'Model inputs'!J68)</f>
        <v>-4396.109317738747</v>
      </c>
      <c r="K289" s="14">
        <f>IF('Model inputs'!K68="","",'Model inputs'!K68)</f>
        <v>-4016.5596915737997</v>
      </c>
      <c r="L289" s="14">
        <f>IF('Model inputs'!L68="","",'Model inputs'!L68)</f>
        <v>-3625.8132368621614</v>
      </c>
      <c r="M289" s="14">
        <f>IF('Model inputs'!M68="","",'Model inputs'!M68)</f>
        <v>-3223.076692593651</v>
      </c>
      <c r="N289" s="14">
        <f>IF('Model inputs'!N68="","",'Model inputs'!N68)</f>
        <v>-2807.5241372950636</v>
      </c>
      <c r="O289" s="14">
        <f>IF('Model inputs'!O68="","",'Model inputs'!O68)</f>
        <v>-2378.2951459293945</v>
      </c>
      <c r="P289" s="14">
        <f>IF('Model inputs'!P68="","",'Model inputs'!P68)</f>
        <v>-1934.492860942355</v>
      </c>
      <c r="Q289" s="14">
        <f>IF('Model inputs'!Q68="","",'Model inputs'!Q68)</f>
        <v>-1475.1819729744693</v>
      </c>
      <c r="R289" s="14">
        <f>IF('Model inputs'!R68="","",'Model inputs'!R68)</f>
        <v>-999.3866065386392</v>
      </c>
      <c r="S289" s="14">
        <f>IF('Model inputs'!S68="","",'Model inputs'!S68)</f>
        <v>-506.0881057335537</v>
      </c>
      <c r="T289" s="14">
        <f>IF('Model inputs'!T68="","",'Model inputs'!T68)</f>
        <v>5.7772851778254335</v>
      </c>
      <c r="U289" s="14">
        <f>IF('Model inputs'!U68="","",'Model inputs'!U68)</f>
        <v>537.3208517488329</v>
      </c>
      <c r="V289" s="14">
        <f>IF('Model inputs'!V68="","",'Model inputs'!V68)</f>
        <v>1089.7039555790252</v>
      </c>
      <c r="W289" s="14">
        <f>IF('Model inputs'!W68="","",'Model inputs'!W68)</f>
        <v>1664.140702763445</v>
      </c>
      <c r="X289" s="14">
        <f>IF('Model inputs'!X68="","",'Model inputs'!X68)</f>
        <v>2261.9007408249236</v>
      </c>
      <c r="Y289" s="14">
        <f>IF('Model inputs'!Y68="","",'Model inputs'!Y68)</f>
        <v>2884.312190701774</v>
      </c>
      <c r="Z289" s="14">
        <f>IF('Model inputs'!Z68="","",'Model inputs'!Z68)</f>
        <v>3532.7647206874008</v>
      </c>
      <c r="AA289" s="14">
        <f>IF('Model inputs'!AA68="","",'Model inputs'!AA68)</f>
        <v>4208.7127695587915</v>
      </c>
      <c r="AD289" s="14">
        <f>0</f>
        <v>0</v>
      </c>
      <c r="AE289" s="14">
        <f>0</f>
        <v>0</v>
      </c>
      <c r="AF289" s="14">
        <f>0</f>
        <v>0</v>
      </c>
      <c r="AG289" s="14">
        <f>0</f>
        <v>0</v>
      </c>
      <c r="AH289" s="14">
        <f>0</f>
        <v>0</v>
      </c>
      <c r="AI289" s="14">
        <f>0</f>
        <v>0</v>
      </c>
      <c r="AJ289" s="14">
        <f>0</f>
        <v>0</v>
      </c>
      <c r="AK289" s="14">
        <f>0</f>
        <v>0</v>
      </c>
    </row>
    <row r="290">
      <c r="A290" t="inlineStr" s="23">
        <is>
          <t xml:space="preserve">Operating result · Cumulative operating result · CheckoutGuard — Conservative · CheckoutGuard — Conservative</t>
        </is>
      </c>
      <c r="B290" s="14">
        <f>IF('Model inputs'!B69="","",'Model inputs'!B69)</f>
        <v>0</v>
      </c>
      <c r="C290" s="14">
        <f>IF('Model inputs'!C69="","",'Model inputs'!C69)</f>
        <v>0</v>
      </c>
      <c r="D290" s="14">
        <f>IF('Model inputs'!D69="","",'Model inputs'!D69)</f>
        <v>-6639.50458</v>
      </c>
      <c r="E290" s="14">
        <f>IF('Model inputs'!E69="","",'Model inputs'!E69)</f>
        <v>-6487.033931</v>
      </c>
      <c r="F290" s="14">
        <f>IF('Model inputs'!F69="","",'Model inputs'!F69)</f>
        <v>-6342.18681445</v>
      </c>
      <c r="G290" s="14">
        <f>IF('Model inputs'!G69="","",'Model inputs'!G69)</f>
        <v>-6204.5820537275</v>
      </c>
      <c r="H290" s="14">
        <f>IF('Model inputs'!H69="","",'Model inputs'!H69)</f>
        <v>-6073.857531041125</v>
      </c>
      <c r="I290" s="14">
        <f>IF('Model inputs'!I69="","",'Model inputs'!I69)</f>
        <v>-5949.669234489069</v>
      </c>
      <c r="J290" s="14">
        <f>IF('Model inputs'!J69="","",'Model inputs'!J69)</f>
        <v>-5831.690352764615</v>
      </c>
      <c r="K290" s="14">
        <f>IF('Model inputs'!K69="","",'Model inputs'!K69)</f>
        <v>-5719.610415126384</v>
      </c>
      <c r="L290" s="14">
        <f>IF('Model inputs'!L69="","",'Model inputs'!L69)</f>
        <v>-5613.134474370066</v>
      </c>
      <c r="M290" s="14">
        <f>IF('Model inputs'!M69="","",'Model inputs'!M69)</f>
        <v>-5511.982330651562</v>
      </c>
      <c r="N290" s="14">
        <f>IF('Model inputs'!N69="","",'Model inputs'!N69)</f>
        <v>-5415.887794118984</v>
      </c>
      <c r="O290" s="14">
        <f>IF('Model inputs'!O69="","",'Model inputs'!O69)</f>
        <v>-5324.597984413034</v>
      </c>
      <c r="P290" s="14">
        <f>IF('Model inputs'!P69="","",'Model inputs'!P69)</f>
        <v>-5237.872665192383</v>
      </c>
      <c r="Q290" s="14">
        <f>IF('Model inputs'!Q69="","",'Model inputs'!Q69)</f>
        <v>-5155.483611932764</v>
      </c>
      <c r="R290" s="14">
        <f>IF('Model inputs'!R69="","",'Model inputs'!R69)</f>
        <v>-5077.214011336126</v>
      </c>
      <c r="S290" s="14">
        <f>IF('Model inputs'!S69="","",'Model inputs'!S69)</f>
        <v>-5002.857890769319</v>
      </c>
      <c r="T290" s="14">
        <f>IF('Model inputs'!T69="","",'Model inputs'!T69)</f>
        <v>-4932.219576230853</v>
      </c>
      <c r="U290" s="14">
        <f>IF('Model inputs'!U69="","",'Model inputs'!U69)</f>
        <v>-4865.113177419311</v>
      </c>
      <c r="V290" s="14">
        <f>IF('Model inputs'!V69="","",'Model inputs'!V69)</f>
        <v>-4801.362098548345</v>
      </c>
      <c r="W290" s="14">
        <f>IF('Model inputs'!W69="","",'Model inputs'!W69)</f>
        <v>-4740.798573620928</v>
      </c>
      <c r="X290" s="14">
        <f>IF('Model inputs'!X69="","",'Model inputs'!X69)</f>
        <v>-4683.263224939881</v>
      </c>
      <c r="Y290" s="14">
        <f>IF('Model inputs'!Y69="","",'Model inputs'!Y69)</f>
        <v>-4628.604643692887</v>
      </c>
      <c r="Z290" s="14">
        <f>IF('Model inputs'!Z69="","",'Model inputs'!Z69)</f>
        <v>-4576.678991508243</v>
      </c>
      <c r="AA290" s="14">
        <f>IF('Model inputs'!AA69="","",'Model inputs'!AA69)</f>
        <v>-4527.349621932831</v>
      </c>
      <c r="AD290" s="14">
        <f>0</f>
        <v>0</v>
      </c>
      <c r="AE290" s="14">
        <f>0</f>
        <v>0</v>
      </c>
      <c r="AF290" s="14">
        <f>0</f>
        <v>0</v>
      </c>
      <c r="AG290" s="14">
        <f>0</f>
        <v>0</v>
      </c>
      <c r="AH290" s="14">
        <f>0</f>
        <v>0</v>
      </c>
      <c r="AI290" s="14">
        <f>0</f>
        <v>0</v>
      </c>
      <c r="AJ290" s="14">
        <f>0</f>
        <v>0</v>
      </c>
      <c r="AK290" s="14">
        <f>0</f>
        <v>0</v>
      </c>
    </row>
    <row r="291">
      <c r="A291" t="inlineStr" s="23">
        <is>
          <t xml:space="preserve">Operating result · Cumulative operating result · CheckoutGuard — Growth · CheckoutGuard — Growth</t>
        </is>
      </c>
      <c r="B291" s="14">
        <f>IF('Model inputs'!B70="","",'Model inputs'!B70)</f>
        <v>0</v>
      </c>
      <c r="C291" s="14">
        <f>IF('Model inputs'!C70="","",'Model inputs'!C70)</f>
        <v>0</v>
      </c>
      <c r="D291" s="14">
        <f>IF('Model inputs'!D70="","",'Model inputs'!D70)</f>
        <v>-6236.47692</v>
      </c>
      <c r="E291" s="14">
        <f>IF('Model inputs'!E70="","",'Model inputs'!E70)</f>
        <v>-5639.1424552</v>
      </c>
      <c r="F291" s="14">
        <f>IF('Model inputs'!F70="","",'Model inputs'!F70)</f>
        <v>-5005.066285584</v>
      </c>
      <c r="G291" s="14">
        <f>IF('Model inputs'!G70="","",'Model inputs'!G70)</f>
        <v>-4331.0881737193595</v>
      </c>
      <c r="H291" s="14">
        <f>IF('Model inputs'!H70="","",'Model inputs'!H70)</f>
        <v>-3613.7994811997755</v>
      </c>
      <c r="I291" s="14">
        <f>IF('Model inputs'!I70="","",'Model inputs'!I70)</f>
        <v>-2849.5232082069665</v>
      </c>
      <c r="J291" s="14">
        <f>IF('Model inputs'!J70="","",'Model inputs'!J70)</f>
        <v>-2034.2924380045097</v>
      </c>
      <c r="K291" s="14">
        <f>IF('Model inputs'!K70="","",'Model inputs'!K70)</f>
        <v>-1163.8270587230363</v>
      </c>
      <c r="L291" s="14">
        <f>IF('Model inputs'!L70="","",'Model inputs'!L70)</f>
        <v>-233.5086245854809</v>
      </c>
      <c r="M291" s="14">
        <f>IF('Model inputs'!M70="","",'Model inputs'!M70)</f>
        <v>761.646792306371</v>
      </c>
      <c r="N291" s="14">
        <f>IF('Model inputs'!N70="","",'Model inputs'!N70)</f>
        <v>1827.017920412396</v>
      </c>
      <c r="O291" s="14">
        <f>IF('Model inputs'!O70="","",'Model inputs'!O70)</f>
        <v>2968.4099510724736</v>
      </c>
      <c r="P291" s="14">
        <f>IF('Model inputs'!P70="","",'Model inputs'!P70)</f>
        <v>4192.088732244818</v>
      </c>
      <c r="Q291" s="14">
        <f>IF('Model inputs'!Q70="","",'Model inputs'!Q70)</f>
        <v>5504.817696209215</v>
      </c>
      <c r="R291" s="14">
        <f>IF('Model inputs'!R70="","",'Model inputs'!R70)</f>
        <v>6913.897739983069</v>
      </c>
      <c r="S291" s="14">
        <f>IF('Model inputs'!S70="","",'Model inputs'!S70)</f>
        <v>8427.21029469729</v>
      </c>
      <c r="T291" s="14">
        <f>IF('Model inputs'!T70="","",'Model inputs'!T70)</f>
        <v>10053.26383907834</v>
      </c>
      <c r="U291" s="14">
        <f>IF('Model inputs'!U70="","",'Model inputs'!U70)</f>
        <v>11801.244132593765</v>
      </c>
      <c r="V291" s="14">
        <f>IF('Model inputs'!V70="","",'Model inputs'!V70)</f>
        <v>13681.068465862641</v>
      </c>
      <c r="W291" s="14">
        <f>IF('Model inputs'!W70="","",'Model inputs'!W70)</f>
        <v>15703.444249739798</v>
      </c>
      <c r="X291" s="14">
        <f>IF('Model inputs'!X70="","",'Model inputs'!X70)</f>
        <v>17879.932290194967</v>
      </c>
      <c r="Y291" s="14">
        <f>IF('Model inputs'!Y70="","",'Model inputs'!Y70)</f>
        <v>20223.01512387703</v>
      </c>
      <c r="Z291" s="14">
        <f>IF('Model inputs'!Z70="","",'Model inputs'!Z70)</f>
        <v>22746.170819244333</v>
      </c>
      <c r="AA291" s="14">
        <f>IF('Model inputs'!AA70="","",'Model inputs'!AA70)</f>
        <v>25463.95268053187</v>
      </c>
      <c r="AD291" s="14">
        <f>0</f>
        <v>0</v>
      </c>
      <c r="AE291" s="14">
        <f>0</f>
        <v>0</v>
      </c>
      <c r="AF291" s="14">
        <f>0</f>
        <v>0</v>
      </c>
      <c r="AG291" s="14">
        <f>0</f>
        <v>0</v>
      </c>
      <c r="AH291" s="14">
        <f>0</f>
        <v>0</v>
      </c>
      <c r="AI291" s="14">
        <f>0</f>
        <v>0</v>
      </c>
      <c r="AJ291" s="14">
        <f>0</f>
        <v>0</v>
      </c>
      <c r="AK291" s="14">
        <f>0</f>
        <v>0</v>
      </c>
    </row>
    <row r="292">
      <c r="A292" t="inlineStr" s="23">
        <is>
          <t xml:space="preserve">Paid conversion</t>
        </is>
      </c>
      <c r="AB292" s="19">
        <v>0</v>
      </c>
    </row>
    <row r="293" outlineLevel="1">
      <c r="A293" t="inlineStr" s="24">
        <is>
          <t xml:space="preserve">Paid conversion &gt; Agency</t>
        </is>
      </c>
      <c r="AB293" s="18">
        <f>0.05</f>
        <v>0.05</v>
      </c>
    </row>
    <row r="294" outlineLevel="1">
      <c r="A294" t="inlineStr" s="24">
        <is>
          <t xml:space="preserve">Paid conversion &gt; Developer</t>
        </is>
      </c>
      <c r="AB294" s="18">
        <f>0.025</f>
        <v>0.025</v>
      </c>
    </row>
    <row r="295" outlineLevel="1">
      <c r="A295" t="inlineStr" s="24">
        <is>
          <t xml:space="preserve">Paid conversion &gt; Team</t>
        </is>
      </c>
      <c r="AB295" s="18">
        <f>0.05</f>
        <v>0.05</v>
      </c>
    </row>
    <row r="296">
      <c r="A296" t="inlineStr" s="23">
        <is>
          <t xml:space="preserve">Paid conversion</t>
        </is>
      </c>
      <c r="AB296" s="19">
        <v>0</v>
      </c>
    </row>
    <row r="297" outlineLevel="1">
      <c r="A297" t="inlineStr" s="24">
        <is>
          <t xml:space="preserve">Paid conversion &gt; Agency</t>
        </is>
      </c>
      <c r="AB297" s="18">
        <f>0.2</f>
        <v>0.2</v>
      </c>
    </row>
    <row r="298" outlineLevel="1">
      <c r="A298" t="inlineStr" s="24">
        <is>
          <t xml:space="preserve">Paid conversion &gt; Developer</t>
        </is>
      </c>
      <c r="AB298" s="18">
        <f>0.1</f>
        <v>0.1</v>
      </c>
    </row>
    <row r="299" outlineLevel="1">
      <c r="A299" t="inlineStr" s="24">
        <is>
          <t xml:space="preserve">Paid conversion &gt; Team</t>
        </is>
      </c>
      <c r="AB299" s="18">
        <f>0.15</f>
        <v>0.15</v>
      </c>
    </row>
    <row r="300">
      <c r="A300" t="inlineStr" s="23">
        <is>
          <t xml:space="preserve">Payment processing rate · Payment processing costs · Contribution · CheckoutGuard — Conservative · CheckoutGuard — Conservative · CheckoutGuard — Conservative</t>
        </is>
      </c>
      <c r="AB300" s="18">
        <f>'CheckoutGuard — Assumptions · S'!B5</f>
        <v>0.03</v>
      </c>
    </row>
    <row r="301">
      <c r="A301" t="inlineStr" s="23">
        <is>
          <t xml:space="preserve">Payment processing rate · Payment processing costs · Contribution · CheckoutGuard — Growth · CheckoutGuard — Growth · CheckoutGuard — Growth</t>
        </is>
      </c>
      <c r="AB301" s="18">
        <f>'CheckoutGuard — Assumptions · S'!B5</f>
        <v>0.03</v>
      </c>
    </row>
    <row r="302">
      <c r="A302" t="inlineStr" s="23">
        <is>
          <t xml:space="preserve">Payment transaction fee · Payment processing costs · Contribution · CheckoutGuard — Conservative · CheckoutGuard — Conservative · CheckoutGuard — Conservative</t>
        </is>
      </c>
      <c r="AB302" s="9">
        <f>'CheckoutGuard — Assumptions · S'!B6</f>
        <v>0.3</v>
      </c>
    </row>
    <row r="303">
      <c r="A303" t="inlineStr" s="23">
        <is>
          <t xml:space="preserve">Payment transaction fee · Payment processing costs · Contribution · CheckoutGuard — Growth · CheckoutGuard — Growth · CheckoutGuard — Growth</t>
        </is>
      </c>
      <c r="AB303" s="9">
        <f>'CheckoutGuard — Assumptions · S'!B6</f>
        <v>0.3</v>
      </c>
    </row>
    <row r="304">
      <c r="A304" t="inlineStr" s="23">
        <is>
          <t xml:space="preserve">Qualified prospects</t>
        </is>
      </c>
      <c r="B304" s="6">
        <f>IF('Model inputs'!B77="","",'Model inputs'!B77)</f>
        <v>0</v>
      </c>
      <c r="C304" s="6">
        <f>IF('Model inputs'!C77="","",'Model inputs'!C77)</f>
        <v>0</v>
      </c>
      <c r="D304" s="6">
        <f>IF('Model inputs'!D77="","",'Model inputs'!D77)</f>
        <v>65</v>
      </c>
      <c r="E304" s="6">
        <f>IF('Model inputs'!E77="","",'Model inputs'!E77)</f>
        <v>68.25</v>
      </c>
      <c r="F304" s="6">
        <f>IF('Model inputs'!F77="","",'Model inputs'!F77)</f>
        <v>71.66250000000001</v>
      </c>
      <c r="G304" s="6">
        <f>IF('Model inputs'!G77="","",'Model inputs'!G77)</f>
        <v>75.24562500000002</v>
      </c>
      <c r="H304" s="6">
        <f>IF('Model inputs'!H77="","",'Model inputs'!H77)</f>
        <v>79.00790625000002</v>
      </c>
      <c r="I304" s="6">
        <f>IF('Model inputs'!I77="","",'Model inputs'!I77)</f>
        <v>82.95830156250003</v>
      </c>
      <c r="J304" s="6">
        <f>IF('Model inputs'!J77="","",'Model inputs'!J77)</f>
        <v>87.10621664062502</v>
      </c>
      <c r="K304" s="6">
        <f>IF('Model inputs'!K77="","",'Model inputs'!K77)</f>
        <v>91.46152747265629</v>
      </c>
      <c r="L304" s="6">
        <f>IF('Model inputs'!L77="","",'Model inputs'!L77)</f>
        <v>96.0346038462891</v>
      </c>
      <c r="M304" s="6">
        <f>IF('Model inputs'!M77="","",'Model inputs'!M77)</f>
        <v>100.83633403860355</v>
      </c>
      <c r="N304" s="6">
        <f>IF('Model inputs'!N77="","",'Model inputs'!N77)</f>
        <v>105.87815074053373</v>
      </c>
      <c r="O304" s="6">
        <f>IF('Model inputs'!O77="","",'Model inputs'!O77)</f>
        <v>111.17205827756044</v>
      </c>
      <c r="P304" s="6">
        <f>IF('Model inputs'!P77="","",'Model inputs'!P77)</f>
        <v>116.73066119143846</v>
      </c>
      <c r="Q304" s="6">
        <f>IF('Model inputs'!Q77="","",'Model inputs'!Q77)</f>
        <v>122.56719425101039</v>
      </c>
      <c r="R304" s="6">
        <f>IF('Model inputs'!R77="","",'Model inputs'!R77)</f>
        <v>128.6955539635609</v>
      </c>
      <c r="S304" s="6">
        <f>IF('Model inputs'!S77="","",'Model inputs'!S77)</f>
        <v>135.13033166173898</v>
      </c>
      <c r="T304" s="6">
        <f>IF('Model inputs'!T77="","",'Model inputs'!T77)</f>
        <v>141.8868482448259</v>
      </c>
      <c r="U304" s="6">
        <f>IF('Model inputs'!U77="","",'Model inputs'!U77)</f>
        <v>148.9811906570672</v>
      </c>
      <c r="V304" s="6">
        <f>IF('Model inputs'!V77="","",'Model inputs'!V77)</f>
        <v>156.43025018992057</v>
      </c>
      <c r="W304" s="6">
        <f>IF('Model inputs'!W77="","",'Model inputs'!W77)</f>
        <v>164.25176269941662</v>
      </c>
      <c r="X304" s="6">
        <f>IF('Model inputs'!X77="","",'Model inputs'!X77)</f>
        <v>172.46435083438743</v>
      </c>
      <c r="Y304" s="6">
        <f>IF('Model inputs'!Y77="","",'Model inputs'!Y77)</f>
        <v>181.08756837610684</v>
      </c>
      <c r="Z304" s="6">
        <f>IF('Model inputs'!Z77="","",'Model inputs'!Z77)</f>
        <v>190.1419467949122</v>
      </c>
      <c r="AA304" s="6">
        <f>IF('Model inputs'!AA77="","",'Model inputs'!AA77)</f>
        <v>199.6490441346578</v>
      </c>
      <c r="AD304" s="6">
        <f>SUM('Model inputs'!AD305,'Model inputs'!AD306,'Model inputs'!AD307)</f>
        <v>0</v>
      </c>
      <c r="AE304" s="6">
        <f>SUM('Model inputs'!AE305,'Model inputs'!AE306,'Model inputs'!AE307)</f>
        <v>0</v>
      </c>
      <c r="AF304" s="6">
        <f>SUM('Model inputs'!AF305,'Model inputs'!AF306,'Model inputs'!AF307)</f>
        <v>0</v>
      </c>
      <c r="AG304" s="6">
        <f>SUM('Model inputs'!AG305,'Model inputs'!AG306,'Model inputs'!AG307)</f>
        <v>0</v>
      </c>
      <c r="AH304" s="6">
        <f>SUM('Model inputs'!AH305,'Model inputs'!AH306,'Model inputs'!AH307)</f>
        <v>0</v>
      </c>
      <c r="AI304" s="6">
        <f>SUM('Model inputs'!AI305,'Model inputs'!AI306,'Model inputs'!AI307)</f>
        <v>0</v>
      </c>
      <c r="AJ304" s="6">
        <f>SUM('Model inputs'!AJ305,'Model inputs'!AJ306,'Model inputs'!AJ307)</f>
        <v>0</v>
      </c>
      <c r="AK304" s="6">
        <f>SUM('Model inputs'!AK305,'Model inputs'!AK306,'Model inputs'!AK307)</f>
        <v>0</v>
      </c>
    </row>
    <row r="305" outlineLevel="1">
      <c r="A305" t="inlineStr" s="24">
        <is>
          <t xml:space="preserve">Qualified prospects &gt; Agency</t>
        </is>
      </c>
      <c r="B305" s="9">
        <f>IF('Model inputs'!B78="","",'Model inputs'!B78)</f>
        <v>0</v>
      </c>
      <c r="C305" s="9">
        <f>IF('Model inputs'!C78="","",'Model inputs'!C78)</f>
        <v>0</v>
      </c>
      <c r="D305" s="9">
        <f>IF('Model inputs'!D78="","",'Model inputs'!D78)</f>
        <v>5</v>
      </c>
      <c r="E305" s="9">
        <f>IF('Model inputs'!E78="","",'Model inputs'!E78)</f>
        <v>5.25</v>
      </c>
      <c r="F305" s="9">
        <f>IF('Model inputs'!F78="","",'Model inputs'!F78)</f>
        <v>5.5125</v>
      </c>
      <c r="G305" s="9">
        <f>IF('Model inputs'!G78="","",'Model inputs'!G78)</f>
        <v>5.788125000000001</v>
      </c>
      <c r="H305" s="9">
        <f>IF('Model inputs'!H78="","",'Model inputs'!H78)</f>
        <v>6.077531250000002</v>
      </c>
      <c r="I305" s="9">
        <f>IF('Model inputs'!I78="","",'Model inputs'!I78)</f>
        <v>6.381407812500002</v>
      </c>
      <c r="J305" s="9">
        <f>IF('Model inputs'!J78="","",'Model inputs'!J78)</f>
        <v>6.700478203125002</v>
      </c>
      <c r="K305" s="9">
        <f>IF('Model inputs'!K78="","",'Model inputs'!K78)</f>
        <v>7.035502113281252</v>
      </c>
      <c r="L305" s="9">
        <f>IF('Model inputs'!L78="","",'Model inputs'!L78)</f>
        <v>7.387277218945315</v>
      </c>
      <c r="M305" s="9">
        <f>IF('Model inputs'!M78="","",'Model inputs'!M78)</f>
        <v>7.756641079892582</v>
      </c>
      <c r="N305" s="9">
        <f>IF('Model inputs'!N78="","",'Model inputs'!N78)</f>
        <v>8.14447313388721</v>
      </c>
      <c r="O305" s="9">
        <f>IF('Model inputs'!O78="","",'Model inputs'!O78)</f>
        <v>8.551696790581572</v>
      </c>
      <c r="P305" s="9">
        <f>IF('Model inputs'!P78="","",'Model inputs'!P78)</f>
        <v>8.97928163011065</v>
      </c>
      <c r="Q305" s="9">
        <f>IF('Model inputs'!Q78="","",'Model inputs'!Q78)</f>
        <v>9.428245711616183</v>
      </c>
      <c r="R305" s="9">
        <f>IF('Model inputs'!R78="","",'Model inputs'!R78)</f>
        <v>9.899657997196993</v>
      </c>
      <c r="S305" s="9">
        <f>IF('Model inputs'!S78="","",'Model inputs'!S78)</f>
        <v>10.394640897056844</v>
      </c>
      <c r="T305" s="9">
        <f>IF('Model inputs'!T78="","",'Model inputs'!T78)</f>
        <v>10.914372941909685</v>
      </c>
      <c r="U305" s="9">
        <f>IF('Model inputs'!U78="","",'Model inputs'!U78)</f>
        <v>11.46009158900517</v>
      </c>
      <c r="V305" s="9">
        <f>IF('Model inputs'!V78="","",'Model inputs'!V78)</f>
        <v>12.033096168455428</v>
      </c>
      <c r="W305" s="9">
        <f>IF('Model inputs'!W78="","",'Model inputs'!W78)</f>
        <v>12.634750976878202</v>
      </c>
      <c r="X305" s="9">
        <f>IF('Model inputs'!X78="","",'Model inputs'!X78)</f>
        <v>13.26648852572211</v>
      </c>
      <c r="Y305" s="9">
        <f>IF('Model inputs'!Y78="","",'Model inputs'!Y78)</f>
        <v>13.929812952008218</v>
      </c>
      <c r="Z305" s="9">
        <f>IF('Model inputs'!Z78="","",'Model inputs'!Z78)</f>
        <v>14.62630359960863</v>
      </c>
      <c r="AA305" s="9">
        <f>IF('Model inputs'!AA78="","",'Model inputs'!AA78)</f>
        <v>15.357618779589062</v>
      </c>
      <c r="AD305" s="9">
        <f>0</f>
        <v>0</v>
      </c>
      <c r="AE305" s="9">
        <f>0</f>
        <v>0</v>
      </c>
      <c r="AF305" s="9">
        <f>0</f>
        <v>0</v>
      </c>
      <c r="AG305" s="9">
        <f>0</f>
        <v>0</v>
      </c>
      <c r="AH305" s="9">
        <f>0</f>
        <v>0</v>
      </c>
      <c r="AI305" s="9">
        <f>0</f>
        <v>0</v>
      </c>
      <c r="AJ305" s="9">
        <f>0</f>
        <v>0</v>
      </c>
      <c r="AK305" s="9">
        <f>0</f>
        <v>0</v>
      </c>
    </row>
    <row r="306" outlineLevel="1">
      <c r="A306" t="inlineStr" s="24">
        <is>
          <t xml:space="preserve">Qualified prospects &gt; Developer</t>
        </is>
      </c>
      <c r="B306" s="9">
        <f>IF('Model inputs'!B79="","",'Model inputs'!B79)</f>
        <v>0</v>
      </c>
      <c r="C306" s="9">
        <f>IF('Model inputs'!C79="","",'Model inputs'!C79)</f>
        <v>0</v>
      </c>
      <c r="D306" s="9">
        <f>IF('Model inputs'!D79="","",'Model inputs'!D79)</f>
        <v>40</v>
      </c>
      <c r="E306" s="9">
        <f>IF('Model inputs'!E79="","",'Model inputs'!E79)</f>
        <v>42</v>
      </c>
      <c r="F306" s="9">
        <f>IF('Model inputs'!F79="","",'Model inputs'!F79)</f>
        <v>44.1</v>
      </c>
      <c r="G306" s="9">
        <f>IF('Model inputs'!G79="","",'Model inputs'!G79)</f>
        <v>46.30500000000001</v>
      </c>
      <c r="H306" s="9">
        <f>IF('Model inputs'!H79="","",'Model inputs'!H79)</f>
        <v>48.62025000000001</v>
      </c>
      <c r="I306" s="9">
        <f>IF('Model inputs'!I79="","",'Model inputs'!I79)</f>
        <v>51.051262500000014</v>
      </c>
      <c r="J306" s="9">
        <f>IF('Model inputs'!J79="","",'Model inputs'!J79)</f>
        <v>53.60382562500001</v>
      </c>
      <c r="K306" s="9">
        <f>IF('Model inputs'!K79="","",'Model inputs'!K79)</f>
        <v>56.28401690625002</v>
      </c>
      <c r="L306" s="9">
        <f>IF('Model inputs'!L79="","",'Model inputs'!L79)</f>
        <v>59.09821775156252</v>
      </c>
      <c r="M306" s="9">
        <f>IF('Model inputs'!M79="","",'Model inputs'!M79)</f>
        <v>62.05312863914065</v>
      </c>
      <c r="N306" s="9">
        <f>IF('Model inputs'!N79="","",'Model inputs'!N79)</f>
        <v>65.15578507109768</v>
      </c>
      <c r="O306" s="9">
        <f>IF('Model inputs'!O79="","",'Model inputs'!O79)</f>
        <v>68.41357432465257</v>
      </c>
      <c r="P306" s="9">
        <f>IF('Model inputs'!P79="","",'Model inputs'!P79)</f>
        <v>71.8342530408852</v>
      </c>
      <c r="Q306" s="9">
        <f>IF('Model inputs'!Q79="","",'Model inputs'!Q79)</f>
        <v>75.42596569292947</v>
      </c>
      <c r="R306" s="9">
        <f>IF('Model inputs'!R79="","",'Model inputs'!R79)</f>
        <v>79.19726397757594</v>
      </c>
      <c r="S306" s="9">
        <f>IF('Model inputs'!S79="","",'Model inputs'!S79)</f>
        <v>83.15712717645475</v>
      </c>
      <c r="T306" s="9">
        <f>IF('Model inputs'!T79="","",'Model inputs'!T79)</f>
        <v>87.31498353527748</v>
      </c>
      <c r="U306" s="9">
        <f>IF('Model inputs'!U79="","",'Model inputs'!U79)</f>
        <v>91.68073271204136</v>
      </c>
      <c r="V306" s="9">
        <f>IF('Model inputs'!V79="","",'Model inputs'!V79)</f>
        <v>96.26476934764342</v>
      </c>
      <c r="W306" s="9">
        <f>IF('Model inputs'!W79="","",'Model inputs'!W79)</f>
        <v>101.07800781502561</v>
      </c>
      <c r="X306" s="9">
        <f>IF('Model inputs'!X79="","",'Model inputs'!X79)</f>
        <v>106.13190820577688</v>
      </c>
      <c r="Y306" s="9">
        <f>IF('Model inputs'!Y79="","",'Model inputs'!Y79)</f>
        <v>111.43850361606574</v>
      </c>
      <c r="Z306" s="9">
        <f>IF('Model inputs'!Z79="","",'Model inputs'!Z79)</f>
        <v>117.01042879686904</v>
      </c>
      <c r="AA306" s="9">
        <f>IF('Model inputs'!AA79="","",'Model inputs'!AA79)</f>
        <v>122.8609502367125</v>
      </c>
      <c r="AD306" s="9">
        <f>0</f>
        <v>0</v>
      </c>
      <c r="AE306" s="9">
        <f>0</f>
        <v>0</v>
      </c>
      <c r="AF306" s="9">
        <f>0</f>
        <v>0</v>
      </c>
      <c r="AG306" s="9">
        <f>0</f>
        <v>0</v>
      </c>
      <c r="AH306" s="9">
        <f>0</f>
        <v>0</v>
      </c>
      <c r="AI306" s="9">
        <f>0</f>
        <v>0</v>
      </c>
      <c r="AJ306" s="9">
        <f>0</f>
        <v>0</v>
      </c>
      <c r="AK306" s="9">
        <f>0</f>
        <v>0</v>
      </c>
    </row>
    <row r="307" outlineLevel="1">
      <c r="A307" t="inlineStr" s="24">
        <is>
          <t xml:space="preserve">Qualified prospects &gt; Team</t>
        </is>
      </c>
      <c r="B307" s="9">
        <f>IF('Model inputs'!B80="","",'Model inputs'!B80)</f>
        <v>0</v>
      </c>
      <c r="C307" s="9">
        <f>IF('Model inputs'!C80="","",'Model inputs'!C80)</f>
        <v>0</v>
      </c>
      <c r="D307" s="9">
        <f>IF('Model inputs'!D80="","",'Model inputs'!D80)</f>
        <v>20</v>
      </c>
      <c r="E307" s="9">
        <f>IF('Model inputs'!E80="","",'Model inputs'!E80)</f>
        <v>21</v>
      </c>
      <c r="F307" s="9">
        <f>IF('Model inputs'!F80="","",'Model inputs'!F80)</f>
        <v>22.05</v>
      </c>
      <c r="G307" s="9">
        <f>IF('Model inputs'!G80="","",'Model inputs'!G80)</f>
        <v>23.152500000000003</v>
      </c>
      <c r="H307" s="9">
        <f>IF('Model inputs'!H80="","",'Model inputs'!H80)</f>
        <v>24.310125000000006</v>
      </c>
      <c r="I307" s="9">
        <f>IF('Model inputs'!I80="","",'Model inputs'!I80)</f>
        <v>25.525631250000007</v>
      </c>
      <c r="J307" s="9">
        <f>IF('Model inputs'!J80="","",'Model inputs'!J80)</f>
        <v>26.801912812500007</v>
      </c>
      <c r="K307" s="9">
        <f>IF('Model inputs'!K80="","",'Model inputs'!K80)</f>
        <v>28.14200845312501</v>
      </c>
      <c r="L307" s="9">
        <f>IF('Model inputs'!L80="","",'Model inputs'!L80)</f>
        <v>29.54910887578126</v>
      </c>
      <c r="M307" s="9">
        <f>IF('Model inputs'!M80="","",'Model inputs'!M80)</f>
        <v>31.026564319570326</v>
      </c>
      <c r="N307" s="9">
        <f>IF('Model inputs'!N80="","",'Model inputs'!N80)</f>
        <v>32.57789253554884</v>
      </c>
      <c r="O307" s="9">
        <f>IF('Model inputs'!O80="","",'Model inputs'!O80)</f>
        <v>34.206787162326286</v>
      </c>
      <c r="P307" s="9">
        <f>IF('Model inputs'!P80="","",'Model inputs'!P80)</f>
        <v>35.9171265204426</v>
      </c>
      <c r="Q307" s="9">
        <f>IF('Model inputs'!Q80="","",'Model inputs'!Q80)</f>
        <v>37.71298284646473</v>
      </c>
      <c r="R307" s="9">
        <f>IF('Model inputs'!R80="","",'Model inputs'!R80)</f>
        <v>39.59863198878797</v>
      </c>
      <c r="S307" s="9">
        <f>IF('Model inputs'!S80="","",'Model inputs'!S80)</f>
        <v>41.578563588227375</v>
      </c>
      <c r="T307" s="9">
        <f>IF('Model inputs'!T80="","",'Model inputs'!T80)</f>
        <v>43.65749176763874</v>
      </c>
      <c r="U307" s="9">
        <f>IF('Model inputs'!U80="","",'Model inputs'!U80)</f>
        <v>45.84036635602068</v>
      </c>
      <c r="V307" s="9">
        <f>IF('Model inputs'!V80="","",'Model inputs'!V80)</f>
        <v>48.13238467382171</v>
      </c>
      <c r="W307" s="9">
        <f>IF('Model inputs'!W80="","",'Model inputs'!W80)</f>
        <v>50.53900390751281</v>
      </c>
      <c r="X307" s="9">
        <f>IF('Model inputs'!X80="","",'Model inputs'!X80)</f>
        <v>53.06595410288844</v>
      </c>
      <c r="Y307" s="9">
        <f>IF('Model inputs'!Y80="","",'Model inputs'!Y80)</f>
        <v>55.71925180803287</v>
      </c>
      <c r="Z307" s="9">
        <f>IF('Model inputs'!Z80="","",'Model inputs'!Z80)</f>
        <v>58.50521439843452</v>
      </c>
      <c r="AA307" s="9">
        <f>IF('Model inputs'!AA80="","",'Model inputs'!AA80)</f>
        <v>61.43047511835625</v>
      </c>
      <c r="AD307" s="9">
        <f>0</f>
        <v>0</v>
      </c>
      <c r="AE307" s="9">
        <f>0</f>
        <v>0</v>
      </c>
      <c r="AF307" s="9">
        <f>0</f>
        <v>0</v>
      </c>
      <c r="AG307" s="9">
        <f>0</f>
        <v>0</v>
      </c>
      <c r="AH307" s="9">
        <f>0</f>
        <v>0</v>
      </c>
      <c r="AI307" s="9">
        <f>0</f>
        <v>0</v>
      </c>
      <c r="AJ307" s="9">
        <f>0</f>
        <v>0</v>
      </c>
      <c r="AK307" s="9">
        <f>0</f>
        <v>0</v>
      </c>
    </row>
    <row r="308">
      <c r="A308" t="inlineStr" s="23">
        <is>
          <t xml:space="preserve">Qualified prospects</t>
        </is>
      </c>
      <c r="B308" s="6">
        <f>SUM('Model inputs'!B309,'Model inputs'!B310,'Model inputs'!B311)</f>
        <v>0</v>
      </c>
      <c r="C308" s="6">
        <f>SUM('Model inputs'!C309,'Model inputs'!C310,'Model inputs'!C311)</f>
        <v>0</v>
      </c>
      <c r="D308" s="6">
        <f>SUM('Model inputs'!D309,'Model inputs'!D310,'Model inputs'!D311)</f>
        <v>65</v>
      </c>
      <c r="E308" s="6">
        <f>SUM('Model inputs'!E309,'Model inputs'!E310,'Model inputs'!E311)</f>
        <v>65</v>
      </c>
      <c r="F308" s="6">
        <f>SUM('Model inputs'!F309,'Model inputs'!F310,'Model inputs'!F311)</f>
        <v>65</v>
      </c>
      <c r="G308" s="6">
        <f>SUM('Model inputs'!G309,'Model inputs'!G310,'Model inputs'!G311)</f>
        <v>65</v>
      </c>
      <c r="H308" s="6">
        <f>SUM('Model inputs'!H309,'Model inputs'!H310,'Model inputs'!H311)</f>
        <v>65</v>
      </c>
      <c r="I308" s="6">
        <f>SUM('Model inputs'!I309,'Model inputs'!I310,'Model inputs'!I311)</f>
        <v>65</v>
      </c>
      <c r="J308" s="6">
        <f>SUM('Model inputs'!J309,'Model inputs'!J310,'Model inputs'!J311)</f>
        <v>65</v>
      </c>
      <c r="K308" s="6">
        <f>SUM('Model inputs'!K309,'Model inputs'!K310,'Model inputs'!K311)</f>
        <v>65</v>
      </c>
      <c r="L308" s="6">
        <f>SUM('Model inputs'!L309,'Model inputs'!L310,'Model inputs'!L311)</f>
        <v>65</v>
      </c>
      <c r="M308" s="6">
        <f>SUM('Model inputs'!M309,'Model inputs'!M310,'Model inputs'!M311)</f>
        <v>65</v>
      </c>
      <c r="N308" s="6">
        <f>SUM('Model inputs'!N309,'Model inputs'!N310,'Model inputs'!N311)</f>
        <v>65</v>
      </c>
      <c r="O308" s="6">
        <f>SUM('Model inputs'!O309,'Model inputs'!O310,'Model inputs'!O311)</f>
        <v>65</v>
      </c>
      <c r="P308" s="6">
        <f>SUM('Model inputs'!P309,'Model inputs'!P310,'Model inputs'!P311)</f>
        <v>65</v>
      </c>
      <c r="Q308" s="6">
        <f>SUM('Model inputs'!Q309,'Model inputs'!Q310,'Model inputs'!Q311)</f>
        <v>65</v>
      </c>
      <c r="R308" s="6">
        <f>SUM('Model inputs'!R309,'Model inputs'!R310,'Model inputs'!R311)</f>
        <v>65</v>
      </c>
      <c r="S308" s="6">
        <f>SUM('Model inputs'!S309,'Model inputs'!S310,'Model inputs'!S311)</f>
        <v>65</v>
      </c>
      <c r="T308" s="6">
        <f>SUM('Model inputs'!T309,'Model inputs'!T310,'Model inputs'!T311)</f>
        <v>65</v>
      </c>
      <c r="U308" s="6">
        <f>SUM('Model inputs'!U309,'Model inputs'!U310,'Model inputs'!U311)</f>
        <v>65</v>
      </c>
      <c r="V308" s="6">
        <f>SUM('Model inputs'!V309,'Model inputs'!V310,'Model inputs'!V311)</f>
        <v>65</v>
      </c>
      <c r="W308" s="6">
        <f>SUM('Model inputs'!W309,'Model inputs'!W310,'Model inputs'!W311)</f>
        <v>65</v>
      </c>
      <c r="X308" s="6">
        <f>SUM('Model inputs'!X309,'Model inputs'!X310,'Model inputs'!X311)</f>
        <v>65</v>
      </c>
      <c r="Y308" s="6">
        <f>SUM('Model inputs'!Y309,'Model inputs'!Y310,'Model inputs'!Y311)</f>
        <v>65</v>
      </c>
      <c r="Z308" s="6">
        <f>SUM('Model inputs'!Z309,'Model inputs'!Z310,'Model inputs'!Z311)</f>
        <v>65</v>
      </c>
      <c r="AA308" s="6">
        <f>SUM('Model inputs'!AA309,'Model inputs'!AA310,'Model inputs'!AA311)</f>
        <v>65</v>
      </c>
      <c r="AD308" s="6">
        <f>SUM('Model inputs'!AD309,'Model inputs'!AD310,'Model inputs'!AD311)</f>
        <v>0</v>
      </c>
      <c r="AE308" s="6">
        <f>SUM('Model inputs'!AE309,'Model inputs'!AE310,'Model inputs'!AE311)</f>
        <v>0</v>
      </c>
      <c r="AF308" s="6">
        <f>SUM('Model inputs'!AF309,'Model inputs'!AF310,'Model inputs'!AF311)</f>
        <v>0</v>
      </c>
      <c r="AG308" s="6">
        <f>SUM('Model inputs'!AG309,'Model inputs'!AG310,'Model inputs'!AG311)</f>
        <v>0</v>
      </c>
      <c r="AH308" s="6">
        <f>SUM('Model inputs'!AH309,'Model inputs'!AH310,'Model inputs'!AH311)</f>
        <v>0</v>
      </c>
      <c r="AI308" s="6">
        <f>SUM('Model inputs'!AI309,'Model inputs'!AI310,'Model inputs'!AI311)</f>
        <v>0</v>
      </c>
      <c r="AJ308" s="6">
        <f>SUM('Model inputs'!AJ309,'Model inputs'!AJ310,'Model inputs'!AJ311)</f>
        <v>0</v>
      </c>
      <c r="AK308" s="6">
        <f>SUM('Model inputs'!AK309,'Model inputs'!AK310,'Model inputs'!AK311)</f>
        <v>0</v>
      </c>
    </row>
    <row r="309" outlineLevel="1">
      <c r="A309" t="inlineStr" s="24">
        <is>
          <t xml:space="preserve">Qualified prospects &gt; Agency</t>
        </is>
      </c>
      <c r="B309" s="9">
        <f>0</f>
        <v>0</v>
      </c>
      <c r="C309" s="9">
        <f>0</f>
        <v>0</v>
      </c>
      <c r="D309" s="9">
        <f>'Model inputs'!AB375*IF(AND((1+'Model inputs'!AB382)=0,DATEDIF(DATE(2026,11,1),DATE(2026,11,1),"M")=0),SQRT(-1),(1+'Model inputs'!AB382)^DATEDIF(DATE(2026,11,1),DATE(2026,11,1),"M"))</f>
        <v>5</v>
      </c>
      <c r="E309" s="9">
        <f>'Model inputs'!AB375*IF(AND((1+'Model inputs'!AB382)=0,DATEDIF(DATE(2026,11,1),DATE(2026,12,1),"M")=0),SQRT(-1),(1+'Model inputs'!AB382)^DATEDIF(DATE(2026,11,1),DATE(2026,12,1),"M"))</f>
        <v>5</v>
      </c>
      <c r="F309" s="9">
        <f>'Model inputs'!AB375*IF(AND((1+'Model inputs'!AB382)=0,DATEDIF(DATE(2026,11,1),DATE(2027,1,1),"M")=0),SQRT(-1),(1+'Model inputs'!AB382)^DATEDIF(DATE(2026,11,1),DATE(2027,1,1),"M"))</f>
        <v>5</v>
      </c>
      <c r="G309" s="9">
        <f>'Model inputs'!AB375*IF(AND((1+'Model inputs'!AB382)=0,DATEDIF(DATE(2026,11,1),DATE(2027,2,1),"M")=0),SQRT(-1),(1+'Model inputs'!AB382)^DATEDIF(DATE(2026,11,1),DATE(2027,2,1),"M"))</f>
        <v>5</v>
      </c>
      <c r="H309" s="9">
        <f>'Model inputs'!AB375*IF(AND((1+'Model inputs'!AB382)=0,DATEDIF(DATE(2026,11,1),DATE(2027,3,1),"M")=0),SQRT(-1),(1+'Model inputs'!AB382)^DATEDIF(DATE(2026,11,1),DATE(2027,3,1),"M"))</f>
        <v>5</v>
      </c>
      <c r="I309" s="9">
        <f>'Model inputs'!AB375*IF(AND((1+'Model inputs'!AB382)=0,DATEDIF(DATE(2026,11,1),DATE(2027,4,1),"M")=0),SQRT(-1),(1+'Model inputs'!AB382)^DATEDIF(DATE(2026,11,1),DATE(2027,4,1),"M"))</f>
        <v>5</v>
      </c>
      <c r="J309" s="9">
        <f>'Model inputs'!AB375*IF(AND((1+'Model inputs'!AB382)=0,DATEDIF(DATE(2026,11,1),DATE(2027,5,1),"M")=0),SQRT(-1),(1+'Model inputs'!AB382)^DATEDIF(DATE(2026,11,1),DATE(2027,5,1),"M"))</f>
        <v>5</v>
      </c>
      <c r="K309" s="9">
        <f>'Model inputs'!AB375*IF(AND((1+'Model inputs'!AB382)=0,DATEDIF(DATE(2026,11,1),DATE(2027,6,1),"M")=0),SQRT(-1),(1+'Model inputs'!AB382)^DATEDIF(DATE(2026,11,1),DATE(2027,6,1),"M"))</f>
        <v>5</v>
      </c>
      <c r="L309" s="9">
        <f>'Model inputs'!AB375*IF(AND((1+'Model inputs'!AB382)=0,DATEDIF(DATE(2026,11,1),DATE(2027,7,1),"M")=0),SQRT(-1),(1+'Model inputs'!AB382)^DATEDIF(DATE(2026,11,1),DATE(2027,7,1),"M"))</f>
        <v>5</v>
      </c>
      <c r="M309" s="9">
        <f>'Model inputs'!AB375*IF(AND((1+'Model inputs'!AB382)=0,DATEDIF(DATE(2026,11,1),DATE(2027,8,1),"M")=0),SQRT(-1),(1+'Model inputs'!AB382)^DATEDIF(DATE(2026,11,1),DATE(2027,8,1),"M"))</f>
        <v>5</v>
      </c>
      <c r="N309" s="9">
        <f>'Model inputs'!AB375*IF(AND((1+'Model inputs'!AB382)=0,DATEDIF(DATE(2026,11,1),DATE(2027,9,1),"M")=0),SQRT(-1),(1+'Model inputs'!AB382)^DATEDIF(DATE(2026,11,1),DATE(2027,9,1),"M"))</f>
        <v>5</v>
      </c>
      <c r="O309" s="9">
        <f>'Model inputs'!AB375*IF(AND((1+'Model inputs'!AB382)=0,DATEDIF(DATE(2026,11,1),DATE(2027,10,1),"M")=0),SQRT(-1),(1+'Model inputs'!AB382)^DATEDIF(DATE(2026,11,1),DATE(2027,10,1),"M"))</f>
        <v>5</v>
      </c>
      <c r="P309" s="9">
        <f>'Model inputs'!AB375*IF(AND((1+'Model inputs'!AB382)=0,DATEDIF(DATE(2026,11,1),DATE(2027,11,1),"M")=0),SQRT(-1),(1+'Model inputs'!AB382)^DATEDIF(DATE(2026,11,1),DATE(2027,11,1),"M"))</f>
        <v>5</v>
      </c>
      <c r="Q309" s="9">
        <f>'Model inputs'!AB375*IF(AND((1+'Model inputs'!AB382)=0,DATEDIF(DATE(2026,11,1),DATE(2027,12,1),"M")=0),SQRT(-1),(1+'Model inputs'!AB382)^DATEDIF(DATE(2026,11,1),DATE(2027,12,1),"M"))</f>
        <v>5</v>
      </c>
      <c r="R309" s="9">
        <f>'Model inputs'!AB375*IF(AND((1+'Model inputs'!AB382)=0,DATEDIF(DATE(2026,11,1),DATE(2028,1,1),"M")=0),SQRT(-1),(1+'Model inputs'!AB382)^DATEDIF(DATE(2026,11,1),DATE(2028,1,1),"M"))</f>
        <v>5</v>
      </c>
      <c r="S309" s="9">
        <f>'Model inputs'!AB375*IF(AND((1+'Model inputs'!AB382)=0,DATEDIF(DATE(2026,11,1),DATE(2028,2,1),"M")=0),SQRT(-1),(1+'Model inputs'!AB382)^DATEDIF(DATE(2026,11,1),DATE(2028,2,1),"M"))</f>
        <v>5</v>
      </c>
      <c r="T309" s="9">
        <f>'Model inputs'!AB375*IF(AND((1+'Model inputs'!AB382)=0,DATEDIF(DATE(2026,11,1),DATE(2028,3,1),"M")=0),SQRT(-1),(1+'Model inputs'!AB382)^DATEDIF(DATE(2026,11,1),DATE(2028,3,1),"M"))</f>
        <v>5</v>
      </c>
      <c r="U309" s="9">
        <f>'Model inputs'!AB375*IF(AND((1+'Model inputs'!AB382)=0,DATEDIF(DATE(2026,11,1),DATE(2028,4,1),"M")=0),SQRT(-1),(1+'Model inputs'!AB382)^DATEDIF(DATE(2026,11,1),DATE(2028,4,1),"M"))</f>
        <v>5</v>
      </c>
      <c r="V309" s="9">
        <f>'Model inputs'!AB375*IF(AND((1+'Model inputs'!AB382)=0,DATEDIF(DATE(2026,11,1),DATE(2028,5,1),"M")=0),SQRT(-1),(1+'Model inputs'!AB382)^DATEDIF(DATE(2026,11,1),DATE(2028,5,1),"M"))</f>
        <v>5</v>
      </c>
      <c r="W309" s="9">
        <f>'Model inputs'!AB375*IF(AND((1+'Model inputs'!AB382)=0,DATEDIF(DATE(2026,11,1),DATE(2028,6,1),"M")=0),SQRT(-1),(1+'Model inputs'!AB382)^DATEDIF(DATE(2026,11,1),DATE(2028,6,1),"M"))</f>
        <v>5</v>
      </c>
      <c r="X309" s="9">
        <f>'Model inputs'!AB375*IF(AND((1+'Model inputs'!AB382)=0,DATEDIF(DATE(2026,11,1),DATE(2028,7,1),"M")=0),SQRT(-1),(1+'Model inputs'!AB382)^DATEDIF(DATE(2026,11,1),DATE(2028,7,1),"M"))</f>
        <v>5</v>
      </c>
      <c r="Y309" s="9">
        <f>'Model inputs'!AB375*IF(AND((1+'Model inputs'!AB382)=0,DATEDIF(DATE(2026,11,1),DATE(2028,8,1),"M")=0),SQRT(-1),(1+'Model inputs'!AB382)^DATEDIF(DATE(2026,11,1),DATE(2028,8,1),"M"))</f>
        <v>5</v>
      </c>
      <c r="Z309" s="9">
        <f>'Model inputs'!AB375*IF(AND((1+'Model inputs'!AB382)=0,DATEDIF(DATE(2026,11,1),DATE(2028,9,1),"M")=0),SQRT(-1),(1+'Model inputs'!AB382)^DATEDIF(DATE(2026,11,1),DATE(2028,9,1),"M"))</f>
        <v>5</v>
      </c>
      <c r="AA309" s="9">
        <f>'Model inputs'!AB375*IF(AND((1+'Model inputs'!AB382)=0,DATEDIF(DATE(2026,11,1),DATE(2028,10,1),"M")=0),SQRT(-1),(1+'Model inputs'!AB382)^DATEDIF(DATE(2026,11,1),DATE(2028,10,1),"M"))</f>
        <v>5</v>
      </c>
      <c r="AD309" s="9">
        <f>0</f>
        <v>0</v>
      </c>
      <c r="AE309" s="9">
        <f>0</f>
        <v>0</v>
      </c>
      <c r="AF309" s="9">
        <f>0</f>
        <v>0</v>
      </c>
      <c r="AG309" s="9">
        <f>0</f>
        <v>0</v>
      </c>
      <c r="AH309" s="9">
        <f>0</f>
        <v>0</v>
      </c>
      <c r="AI309" s="9">
        <f>0</f>
        <v>0</v>
      </c>
      <c r="AJ309" s="9">
        <f>0</f>
        <v>0</v>
      </c>
      <c r="AK309" s="9">
        <f>0</f>
        <v>0</v>
      </c>
    </row>
    <row r="310" outlineLevel="1">
      <c r="A310" t="inlineStr" s="24">
        <is>
          <t xml:space="preserve">Qualified prospects &gt; Developer</t>
        </is>
      </c>
      <c r="B310" s="9">
        <f>0</f>
        <v>0</v>
      </c>
      <c r="C310" s="9">
        <f>0</f>
        <v>0</v>
      </c>
      <c r="D310" s="9">
        <f>'Model inputs'!AB376*IF(AND((1+'Model inputs'!AB382)=0,DATEDIF(DATE(2026,11,1),DATE(2026,11,1),"M")=0),SQRT(-1),(1+'Model inputs'!AB382)^DATEDIF(DATE(2026,11,1),DATE(2026,11,1),"M"))</f>
        <v>40</v>
      </c>
      <c r="E310" s="9">
        <f>'Model inputs'!AB376*IF(AND((1+'Model inputs'!AB382)=0,DATEDIF(DATE(2026,11,1),DATE(2026,12,1),"M")=0),SQRT(-1),(1+'Model inputs'!AB382)^DATEDIF(DATE(2026,11,1),DATE(2026,12,1),"M"))</f>
        <v>40</v>
      </c>
      <c r="F310" s="9">
        <f>'Model inputs'!AB376*IF(AND((1+'Model inputs'!AB382)=0,DATEDIF(DATE(2026,11,1),DATE(2027,1,1),"M")=0),SQRT(-1),(1+'Model inputs'!AB382)^DATEDIF(DATE(2026,11,1),DATE(2027,1,1),"M"))</f>
        <v>40</v>
      </c>
      <c r="G310" s="9">
        <f>'Model inputs'!AB376*IF(AND((1+'Model inputs'!AB382)=0,DATEDIF(DATE(2026,11,1),DATE(2027,2,1),"M")=0),SQRT(-1),(1+'Model inputs'!AB382)^DATEDIF(DATE(2026,11,1),DATE(2027,2,1),"M"))</f>
        <v>40</v>
      </c>
      <c r="H310" s="9">
        <f>'Model inputs'!AB376*IF(AND((1+'Model inputs'!AB382)=0,DATEDIF(DATE(2026,11,1),DATE(2027,3,1),"M")=0),SQRT(-1),(1+'Model inputs'!AB382)^DATEDIF(DATE(2026,11,1),DATE(2027,3,1),"M"))</f>
        <v>40</v>
      </c>
      <c r="I310" s="9">
        <f>'Model inputs'!AB376*IF(AND((1+'Model inputs'!AB382)=0,DATEDIF(DATE(2026,11,1),DATE(2027,4,1),"M")=0),SQRT(-1),(1+'Model inputs'!AB382)^DATEDIF(DATE(2026,11,1),DATE(2027,4,1),"M"))</f>
        <v>40</v>
      </c>
      <c r="J310" s="9">
        <f>'Model inputs'!AB376*IF(AND((1+'Model inputs'!AB382)=0,DATEDIF(DATE(2026,11,1),DATE(2027,5,1),"M")=0),SQRT(-1),(1+'Model inputs'!AB382)^DATEDIF(DATE(2026,11,1),DATE(2027,5,1),"M"))</f>
        <v>40</v>
      </c>
      <c r="K310" s="9">
        <f>'Model inputs'!AB376*IF(AND((1+'Model inputs'!AB382)=0,DATEDIF(DATE(2026,11,1),DATE(2027,6,1),"M")=0),SQRT(-1),(1+'Model inputs'!AB382)^DATEDIF(DATE(2026,11,1),DATE(2027,6,1),"M"))</f>
        <v>40</v>
      </c>
      <c r="L310" s="9">
        <f>'Model inputs'!AB376*IF(AND((1+'Model inputs'!AB382)=0,DATEDIF(DATE(2026,11,1),DATE(2027,7,1),"M")=0),SQRT(-1),(1+'Model inputs'!AB382)^DATEDIF(DATE(2026,11,1),DATE(2027,7,1),"M"))</f>
        <v>40</v>
      </c>
      <c r="M310" s="9">
        <f>'Model inputs'!AB376*IF(AND((1+'Model inputs'!AB382)=0,DATEDIF(DATE(2026,11,1),DATE(2027,8,1),"M")=0),SQRT(-1),(1+'Model inputs'!AB382)^DATEDIF(DATE(2026,11,1),DATE(2027,8,1),"M"))</f>
        <v>40</v>
      </c>
      <c r="N310" s="9">
        <f>'Model inputs'!AB376*IF(AND((1+'Model inputs'!AB382)=0,DATEDIF(DATE(2026,11,1),DATE(2027,9,1),"M")=0),SQRT(-1),(1+'Model inputs'!AB382)^DATEDIF(DATE(2026,11,1),DATE(2027,9,1),"M"))</f>
        <v>40</v>
      </c>
      <c r="O310" s="9">
        <f>'Model inputs'!AB376*IF(AND((1+'Model inputs'!AB382)=0,DATEDIF(DATE(2026,11,1),DATE(2027,10,1),"M")=0),SQRT(-1),(1+'Model inputs'!AB382)^DATEDIF(DATE(2026,11,1),DATE(2027,10,1),"M"))</f>
        <v>40</v>
      </c>
      <c r="P310" s="9">
        <f>'Model inputs'!AB376*IF(AND((1+'Model inputs'!AB382)=0,DATEDIF(DATE(2026,11,1),DATE(2027,11,1),"M")=0),SQRT(-1),(1+'Model inputs'!AB382)^DATEDIF(DATE(2026,11,1),DATE(2027,11,1),"M"))</f>
        <v>40</v>
      </c>
      <c r="Q310" s="9">
        <f>'Model inputs'!AB376*IF(AND((1+'Model inputs'!AB382)=0,DATEDIF(DATE(2026,11,1),DATE(2027,12,1),"M")=0),SQRT(-1),(1+'Model inputs'!AB382)^DATEDIF(DATE(2026,11,1),DATE(2027,12,1),"M"))</f>
        <v>40</v>
      </c>
      <c r="R310" s="9">
        <f>'Model inputs'!AB376*IF(AND((1+'Model inputs'!AB382)=0,DATEDIF(DATE(2026,11,1),DATE(2028,1,1),"M")=0),SQRT(-1),(1+'Model inputs'!AB382)^DATEDIF(DATE(2026,11,1),DATE(2028,1,1),"M"))</f>
        <v>40</v>
      </c>
      <c r="S310" s="9">
        <f>'Model inputs'!AB376*IF(AND((1+'Model inputs'!AB382)=0,DATEDIF(DATE(2026,11,1),DATE(2028,2,1),"M")=0),SQRT(-1),(1+'Model inputs'!AB382)^DATEDIF(DATE(2026,11,1),DATE(2028,2,1),"M"))</f>
        <v>40</v>
      </c>
      <c r="T310" s="9">
        <f>'Model inputs'!AB376*IF(AND((1+'Model inputs'!AB382)=0,DATEDIF(DATE(2026,11,1),DATE(2028,3,1),"M")=0),SQRT(-1),(1+'Model inputs'!AB382)^DATEDIF(DATE(2026,11,1),DATE(2028,3,1),"M"))</f>
        <v>40</v>
      </c>
      <c r="U310" s="9">
        <f>'Model inputs'!AB376*IF(AND((1+'Model inputs'!AB382)=0,DATEDIF(DATE(2026,11,1),DATE(2028,4,1),"M")=0),SQRT(-1),(1+'Model inputs'!AB382)^DATEDIF(DATE(2026,11,1),DATE(2028,4,1),"M"))</f>
        <v>40</v>
      </c>
      <c r="V310" s="9">
        <f>'Model inputs'!AB376*IF(AND((1+'Model inputs'!AB382)=0,DATEDIF(DATE(2026,11,1),DATE(2028,5,1),"M")=0),SQRT(-1),(1+'Model inputs'!AB382)^DATEDIF(DATE(2026,11,1),DATE(2028,5,1),"M"))</f>
        <v>40</v>
      </c>
      <c r="W310" s="9">
        <f>'Model inputs'!AB376*IF(AND((1+'Model inputs'!AB382)=0,DATEDIF(DATE(2026,11,1),DATE(2028,6,1),"M")=0),SQRT(-1),(1+'Model inputs'!AB382)^DATEDIF(DATE(2026,11,1),DATE(2028,6,1),"M"))</f>
        <v>40</v>
      </c>
      <c r="X310" s="9">
        <f>'Model inputs'!AB376*IF(AND((1+'Model inputs'!AB382)=0,DATEDIF(DATE(2026,11,1),DATE(2028,7,1),"M")=0),SQRT(-1),(1+'Model inputs'!AB382)^DATEDIF(DATE(2026,11,1),DATE(2028,7,1),"M"))</f>
        <v>40</v>
      </c>
      <c r="Y310" s="9">
        <f>'Model inputs'!AB376*IF(AND((1+'Model inputs'!AB382)=0,DATEDIF(DATE(2026,11,1),DATE(2028,8,1),"M")=0),SQRT(-1),(1+'Model inputs'!AB382)^DATEDIF(DATE(2026,11,1),DATE(2028,8,1),"M"))</f>
        <v>40</v>
      </c>
      <c r="Z310" s="9">
        <f>'Model inputs'!AB376*IF(AND((1+'Model inputs'!AB382)=0,DATEDIF(DATE(2026,11,1),DATE(2028,9,1),"M")=0),SQRT(-1),(1+'Model inputs'!AB382)^DATEDIF(DATE(2026,11,1),DATE(2028,9,1),"M"))</f>
        <v>40</v>
      </c>
      <c r="AA310" s="9">
        <f>'Model inputs'!AB376*IF(AND((1+'Model inputs'!AB382)=0,DATEDIF(DATE(2026,11,1),DATE(2028,10,1),"M")=0),SQRT(-1),(1+'Model inputs'!AB382)^DATEDIF(DATE(2026,11,1),DATE(2028,10,1),"M"))</f>
        <v>40</v>
      </c>
      <c r="AD310" s="9">
        <f>0</f>
        <v>0</v>
      </c>
      <c r="AE310" s="9">
        <f>0</f>
        <v>0</v>
      </c>
      <c r="AF310" s="9">
        <f>0</f>
        <v>0</v>
      </c>
      <c r="AG310" s="9">
        <f>0</f>
        <v>0</v>
      </c>
      <c r="AH310" s="9">
        <f>0</f>
        <v>0</v>
      </c>
      <c r="AI310" s="9">
        <f>0</f>
        <v>0</v>
      </c>
      <c r="AJ310" s="9">
        <f>0</f>
        <v>0</v>
      </c>
      <c r="AK310" s="9">
        <f>0</f>
        <v>0</v>
      </c>
    </row>
    <row r="311" outlineLevel="1">
      <c r="A311" t="inlineStr" s="24">
        <is>
          <t xml:space="preserve">Qualified prospects &gt; Team</t>
        </is>
      </c>
      <c r="B311" s="9">
        <f>0</f>
        <v>0</v>
      </c>
      <c r="C311" s="9">
        <f>0</f>
        <v>0</v>
      </c>
      <c r="D311" s="9">
        <f>'Model inputs'!AB377*IF(AND((1+'Model inputs'!AB382)=0,DATEDIF(DATE(2026,11,1),DATE(2026,11,1),"M")=0),SQRT(-1),(1+'Model inputs'!AB382)^DATEDIF(DATE(2026,11,1),DATE(2026,11,1),"M"))</f>
        <v>20</v>
      </c>
      <c r="E311" s="9">
        <f>'Model inputs'!AB377*IF(AND((1+'Model inputs'!AB382)=0,DATEDIF(DATE(2026,11,1),DATE(2026,12,1),"M")=0),SQRT(-1),(1+'Model inputs'!AB382)^DATEDIF(DATE(2026,11,1),DATE(2026,12,1),"M"))</f>
        <v>20</v>
      </c>
      <c r="F311" s="9">
        <f>'Model inputs'!AB377*IF(AND((1+'Model inputs'!AB382)=0,DATEDIF(DATE(2026,11,1),DATE(2027,1,1),"M")=0),SQRT(-1),(1+'Model inputs'!AB382)^DATEDIF(DATE(2026,11,1),DATE(2027,1,1),"M"))</f>
        <v>20</v>
      </c>
      <c r="G311" s="9">
        <f>'Model inputs'!AB377*IF(AND((1+'Model inputs'!AB382)=0,DATEDIF(DATE(2026,11,1),DATE(2027,2,1),"M")=0),SQRT(-1),(1+'Model inputs'!AB382)^DATEDIF(DATE(2026,11,1),DATE(2027,2,1),"M"))</f>
        <v>20</v>
      </c>
      <c r="H311" s="9">
        <f>'Model inputs'!AB377*IF(AND((1+'Model inputs'!AB382)=0,DATEDIF(DATE(2026,11,1),DATE(2027,3,1),"M")=0),SQRT(-1),(1+'Model inputs'!AB382)^DATEDIF(DATE(2026,11,1),DATE(2027,3,1),"M"))</f>
        <v>20</v>
      </c>
      <c r="I311" s="9">
        <f>'Model inputs'!AB377*IF(AND((1+'Model inputs'!AB382)=0,DATEDIF(DATE(2026,11,1),DATE(2027,4,1),"M")=0),SQRT(-1),(1+'Model inputs'!AB382)^DATEDIF(DATE(2026,11,1),DATE(2027,4,1),"M"))</f>
        <v>20</v>
      </c>
      <c r="J311" s="9">
        <f>'Model inputs'!AB377*IF(AND((1+'Model inputs'!AB382)=0,DATEDIF(DATE(2026,11,1),DATE(2027,5,1),"M")=0),SQRT(-1),(1+'Model inputs'!AB382)^DATEDIF(DATE(2026,11,1),DATE(2027,5,1),"M"))</f>
        <v>20</v>
      </c>
      <c r="K311" s="9">
        <f>'Model inputs'!AB377*IF(AND((1+'Model inputs'!AB382)=0,DATEDIF(DATE(2026,11,1),DATE(2027,6,1),"M")=0),SQRT(-1),(1+'Model inputs'!AB382)^DATEDIF(DATE(2026,11,1),DATE(2027,6,1),"M"))</f>
        <v>20</v>
      </c>
      <c r="L311" s="9">
        <f>'Model inputs'!AB377*IF(AND((1+'Model inputs'!AB382)=0,DATEDIF(DATE(2026,11,1),DATE(2027,7,1),"M")=0),SQRT(-1),(1+'Model inputs'!AB382)^DATEDIF(DATE(2026,11,1),DATE(2027,7,1),"M"))</f>
        <v>20</v>
      </c>
      <c r="M311" s="9">
        <f>'Model inputs'!AB377*IF(AND((1+'Model inputs'!AB382)=0,DATEDIF(DATE(2026,11,1),DATE(2027,8,1),"M")=0),SQRT(-1),(1+'Model inputs'!AB382)^DATEDIF(DATE(2026,11,1),DATE(2027,8,1),"M"))</f>
        <v>20</v>
      </c>
      <c r="N311" s="9">
        <f>'Model inputs'!AB377*IF(AND((1+'Model inputs'!AB382)=0,DATEDIF(DATE(2026,11,1),DATE(2027,9,1),"M")=0),SQRT(-1),(1+'Model inputs'!AB382)^DATEDIF(DATE(2026,11,1),DATE(2027,9,1),"M"))</f>
        <v>20</v>
      </c>
      <c r="O311" s="9">
        <f>'Model inputs'!AB377*IF(AND((1+'Model inputs'!AB382)=0,DATEDIF(DATE(2026,11,1),DATE(2027,10,1),"M")=0),SQRT(-1),(1+'Model inputs'!AB382)^DATEDIF(DATE(2026,11,1),DATE(2027,10,1),"M"))</f>
        <v>20</v>
      </c>
      <c r="P311" s="9">
        <f>'Model inputs'!AB377*IF(AND((1+'Model inputs'!AB382)=0,DATEDIF(DATE(2026,11,1),DATE(2027,11,1),"M")=0),SQRT(-1),(1+'Model inputs'!AB382)^DATEDIF(DATE(2026,11,1),DATE(2027,11,1),"M"))</f>
        <v>20</v>
      </c>
      <c r="Q311" s="9">
        <f>'Model inputs'!AB377*IF(AND((1+'Model inputs'!AB382)=0,DATEDIF(DATE(2026,11,1),DATE(2027,12,1),"M")=0),SQRT(-1),(1+'Model inputs'!AB382)^DATEDIF(DATE(2026,11,1),DATE(2027,12,1),"M"))</f>
        <v>20</v>
      </c>
      <c r="R311" s="9">
        <f>'Model inputs'!AB377*IF(AND((1+'Model inputs'!AB382)=0,DATEDIF(DATE(2026,11,1),DATE(2028,1,1),"M")=0),SQRT(-1),(1+'Model inputs'!AB382)^DATEDIF(DATE(2026,11,1),DATE(2028,1,1),"M"))</f>
        <v>20</v>
      </c>
      <c r="S311" s="9">
        <f>'Model inputs'!AB377*IF(AND((1+'Model inputs'!AB382)=0,DATEDIF(DATE(2026,11,1),DATE(2028,2,1),"M")=0),SQRT(-1),(1+'Model inputs'!AB382)^DATEDIF(DATE(2026,11,1),DATE(2028,2,1),"M"))</f>
        <v>20</v>
      </c>
      <c r="T311" s="9">
        <f>'Model inputs'!AB377*IF(AND((1+'Model inputs'!AB382)=0,DATEDIF(DATE(2026,11,1),DATE(2028,3,1),"M")=0),SQRT(-1),(1+'Model inputs'!AB382)^DATEDIF(DATE(2026,11,1),DATE(2028,3,1),"M"))</f>
        <v>20</v>
      </c>
      <c r="U311" s="9">
        <f>'Model inputs'!AB377*IF(AND((1+'Model inputs'!AB382)=0,DATEDIF(DATE(2026,11,1),DATE(2028,4,1),"M")=0),SQRT(-1),(1+'Model inputs'!AB382)^DATEDIF(DATE(2026,11,1),DATE(2028,4,1),"M"))</f>
        <v>20</v>
      </c>
      <c r="V311" s="9">
        <f>'Model inputs'!AB377*IF(AND((1+'Model inputs'!AB382)=0,DATEDIF(DATE(2026,11,1),DATE(2028,5,1),"M")=0),SQRT(-1),(1+'Model inputs'!AB382)^DATEDIF(DATE(2026,11,1),DATE(2028,5,1),"M"))</f>
        <v>20</v>
      </c>
      <c r="W311" s="9">
        <f>'Model inputs'!AB377*IF(AND((1+'Model inputs'!AB382)=0,DATEDIF(DATE(2026,11,1),DATE(2028,6,1),"M")=0),SQRT(-1),(1+'Model inputs'!AB382)^DATEDIF(DATE(2026,11,1),DATE(2028,6,1),"M"))</f>
        <v>20</v>
      </c>
      <c r="X311" s="9">
        <f>'Model inputs'!AB377*IF(AND((1+'Model inputs'!AB382)=0,DATEDIF(DATE(2026,11,1),DATE(2028,7,1),"M")=0),SQRT(-1),(1+'Model inputs'!AB382)^DATEDIF(DATE(2026,11,1),DATE(2028,7,1),"M"))</f>
        <v>20</v>
      </c>
      <c r="Y311" s="9">
        <f>'Model inputs'!AB377*IF(AND((1+'Model inputs'!AB382)=0,DATEDIF(DATE(2026,11,1),DATE(2028,8,1),"M")=0),SQRT(-1),(1+'Model inputs'!AB382)^DATEDIF(DATE(2026,11,1),DATE(2028,8,1),"M"))</f>
        <v>20</v>
      </c>
      <c r="Z311" s="9">
        <f>'Model inputs'!AB377*IF(AND((1+'Model inputs'!AB382)=0,DATEDIF(DATE(2026,11,1),DATE(2028,9,1),"M")=0),SQRT(-1),(1+'Model inputs'!AB382)^DATEDIF(DATE(2026,11,1),DATE(2028,9,1),"M"))</f>
        <v>20</v>
      </c>
      <c r="AA311" s="9">
        <f>'Model inputs'!AB377*IF(AND((1+'Model inputs'!AB382)=0,DATEDIF(DATE(2026,11,1),DATE(2028,10,1),"M")=0),SQRT(-1),(1+'Model inputs'!AB382)^DATEDIF(DATE(2026,11,1),DATE(2028,10,1),"M"))</f>
        <v>20</v>
      </c>
      <c r="AD311" s="9">
        <f>0</f>
        <v>0</v>
      </c>
      <c r="AE311" s="9">
        <f>0</f>
        <v>0</v>
      </c>
      <c r="AF311" s="9">
        <f>0</f>
        <v>0</v>
      </c>
      <c r="AG311" s="9">
        <f>0</f>
        <v>0</v>
      </c>
      <c r="AH311" s="9">
        <f>0</f>
        <v>0</v>
      </c>
      <c r="AI311" s="9">
        <f>0</f>
        <v>0</v>
      </c>
      <c r="AJ311" s="9">
        <f>0</f>
        <v>0</v>
      </c>
      <c r="AK311" s="9">
        <f>0</f>
        <v>0</v>
      </c>
    </row>
    <row r="312">
      <c r="A312" t="inlineStr" s="23">
        <is>
          <t xml:space="preserve">Qualified prospects</t>
        </is>
      </c>
      <c r="B312" s="6">
        <f>SUM('Model inputs'!B313,'Model inputs'!B314,'Model inputs'!B315)</f>
        <v>0</v>
      </c>
      <c r="C312" s="6">
        <f>SUM('Model inputs'!C313,'Model inputs'!C314,'Model inputs'!C315)</f>
        <v>0</v>
      </c>
      <c r="D312" s="6">
        <f>SUM('Model inputs'!D313,'Model inputs'!D314,'Model inputs'!D315)</f>
        <v>65</v>
      </c>
      <c r="E312" s="6">
        <f>SUM('Model inputs'!E313,'Model inputs'!E314,'Model inputs'!E315)</f>
        <v>70.2</v>
      </c>
      <c r="F312" s="6">
        <f>SUM('Model inputs'!F313,'Model inputs'!F314,'Model inputs'!F315)</f>
        <v>75.816</v>
      </c>
      <c r="G312" s="6">
        <f>SUM('Model inputs'!G313,'Model inputs'!G314,'Model inputs'!G315)</f>
        <v>81.88128000000002</v>
      </c>
      <c r="H312" s="6">
        <f>SUM('Model inputs'!H313,'Model inputs'!H314,'Model inputs'!H315)</f>
        <v>88.43178240000003</v>
      </c>
      <c r="I312" s="6">
        <f>SUM('Model inputs'!I313,'Model inputs'!I314,'Model inputs'!I315)</f>
        <v>95.50632499200003</v>
      </c>
      <c r="J312" s="6">
        <f>SUM('Model inputs'!J313,'Model inputs'!J314,'Model inputs'!J315)</f>
        <v>103.14683099136003</v>
      </c>
      <c r="K312" s="6">
        <f>SUM('Model inputs'!K313,'Model inputs'!K314,'Model inputs'!K315)</f>
        <v>111.39857747066887</v>
      </c>
      <c r="L312" s="6">
        <f>SUM('Model inputs'!L313,'Model inputs'!L314,'Model inputs'!L315)</f>
        <v>120.31046366832237</v>
      </c>
      <c r="M312" s="6">
        <f>SUM('Model inputs'!M313,'Model inputs'!M314,'Model inputs'!M315)</f>
        <v>129.93530076178814</v>
      </c>
      <c r="N312" s="6">
        <f>SUM('Model inputs'!N313,'Model inputs'!N314,'Model inputs'!N315)</f>
        <v>140.33012482273122</v>
      </c>
      <c r="O312" s="6">
        <f>SUM('Model inputs'!O313,'Model inputs'!O314,'Model inputs'!O315)</f>
        <v>151.5565348085497</v>
      </c>
      <c r="P312" s="6">
        <f>SUM('Model inputs'!P313,'Model inputs'!P314,'Model inputs'!P315)</f>
        <v>163.68105759323373</v>
      </c>
      <c r="Q312" s="6">
        <f>SUM('Model inputs'!Q313,'Model inputs'!Q314,'Model inputs'!Q315)</f>
        <v>176.77554220069246</v>
      </c>
      <c r="R312" s="6">
        <f>SUM('Model inputs'!R313,'Model inputs'!R314,'Model inputs'!R315)</f>
        <v>190.91758557674785</v>
      </c>
      <c r="S312" s="6">
        <f>SUM('Model inputs'!S313,'Model inputs'!S314,'Model inputs'!S315)</f>
        <v>206.1909924228877</v>
      </c>
      <c r="T312" s="6">
        <f>SUM('Model inputs'!T313,'Model inputs'!T314,'Model inputs'!T315)</f>
        <v>222.68627181671872</v>
      </c>
      <c r="U312" s="6">
        <f>SUM('Model inputs'!U313,'Model inputs'!U314,'Model inputs'!U315)</f>
        <v>240.50117356205624</v>
      </c>
      <c r="V312" s="6">
        <f>SUM('Model inputs'!V313,'Model inputs'!V314,'Model inputs'!V315)</f>
        <v>259.74126744702073</v>
      </c>
      <c r="W312" s="6">
        <f>SUM('Model inputs'!W313,'Model inputs'!W314,'Model inputs'!W315)</f>
        <v>280.5205688427824</v>
      </c>
      <c r="X312" s="6">
        <f>SUM('Model inputs'!X313,'Model inputs'!X314,'Model inputs'!X315)</f>
        <v>302.96221435020504</v>
      </c>
      <c r="Y312" s="6">
        <f>SUM('Model inputs'!Y313,'Model inputs'!Y314,'Model inputs'!Y315)</f>
        <v>327.19919149822147</v>
      </c>
      <c r="Z312" s="6">
        <f>SUM('Model inputs'!Z313,'Model inputs'!Z314,'Model inputs'!Z315)</f>
        <v>353.3751268180792</v>
      </c>
      <c r="AA312" s="6">
        <f>SUM('Model inputs'!AA313,'Model inputs'!AA314,'Model inputs'!AA315)</f>
        <v>381.64513696352554</v>
      </c>
      <c r="AD312" s="6">
        <f>SUM('Model inputs'!AD313,'Model inputs'!AD314,'Model inputs'!AD315)</f>
        <v>0</v>
      </c>
      <c r="AE312" s="6">
        <f>SUM('Model inputs'!AE313,'Model inputs'!AE314,'Model inputs'!AE315)</f>
        <v>0</v>
      </c>
      <c r="AF312" s="6">
        <f>SUM('Model inputs'!AF313,'Model inputs'!AF314,'Model inputs'!AF315)</f>
        <v>0</v>
      </c>
      <c r="AG312" s="6">
        <f>SUM('Model inputs'!AG313,'Model inputs'!AG314,'Model inputs'!AG315)</f>
        <v>0</v>
      </c>
      <c r="AH312" s="6">
        <f>SUM('Model inputs'!AH313,'Model inputs'!AH314,'Model inputs'!AH315)</f>
        <v>0</v>
      </c>
      <c r="AI312" s="6">
        <f>SUM('Model inputs'!AI313,'Model inputs'!AI314,'Model inputs'!AI315)</f>
        <v>0</v>
      </c>
      <c r="AJ312" s="6">
        <f>SUM('Model inputs'!AJ313,'Model inputs'!AJ314,'Model inputs'!AJ315)</f>
        <v>0</v>
      </c>
      <c r="AK312" s="6">
        <f>SUM('Model inputs'!AK313,'Model inputs'!AK314,'Model inputs'!AK315)</f>
        <v>0</v>
      </c>
    </row>
    <row r="313" outlineLevel="1">
      <c r="A313" t="inlineStr" s="24">
        <is>
          <t xml:space="preserve">Qualified prospects &gt; Agency</t>
        </is>
      </c>
      <c r="B313" s="9">
        <f>0</f>
        <v>0</v>
      </c>
      <c r="C313" s="9">
        <f>0</f>
        <v>0</v>
      </c>
      <c r="D313" s="9">
        <f>'Model inputs'!AB379*IF(AND((1+'Model inputs'!AB383)=0,DATEDIF(DATE(2026,11,1),DATE(2026,11,1),"M")=0),SQRT(-1),(1+'Model inputs'!AB383)^DATEDIF(DATE(2026,11,1),DATE(2026,11,1),"M"))</f>
        <v>5</v>
      </c>
      <c r="E313" s="9">
        <f>'Model inputs'!AB379*IF(AND((1+'Model inputs'!AB383)=0,DATEDIF(DATE(2026,11,1),DATE(2026,12,1),"M")=0),SQRT(-1),(1+'Model inputs'!AB383)^DATEDIF(DATE(2026,11,1),DATE(2026,12,1),"M"))</f>
        <v>5.4</v>
      </c>
      <c r="F313" s="9">
        <f>'Model inputs'!AB379*IF(AND((1+'Model inputs'!AB383)=0,DATEDIF(DATE(2026,11,1),DATE(2027,1,1),"M")=0),SQRT(-1),(1+'Model inputs'!AB383)^DATEDIF(DATE(2026,11,1),DATE(2027,1,1),"M"))</f>
        <v>5.832000000000001</v>
      </c>
      <c r="G313" s="9">
        <f>'Model inputs'!AB379*IF(AND((1+'Model inputs'!AB383)=0,DATEDIF(DATE(2026,11,1),DATE(2027,2,1),"M")=0),SQRT(-1),(1+'Model inputs'!AB383)^DATEDIF(DATE(2026,11,1),DATE(2027,2,1),"M"))</f>
        <v>6.298560000000001</v>
      </c>
      <c r="H313" s="9">
        <f>'Model inputs'!AB379*IF(AND((1+'Model inputs'!AB383)=0,DATEDIF(DATE(2026,11,1),DATE(2027,3,1),"M")=0),SQRT(-1),(1+'Model inputs'!AB383)^DATEDIF(DATE(2026,11,1),DATE(2027,3,1),"M"))</f>
        <v>6.802444800000002</v>
      </c>
      <c r="I313" s="9">
        <f>'Model inputs'!AB379*IF(AND((1+'Model inputs'!AB383)=0,DATEDIF(DATE(2026,11,1),DATE(2027,4,1),"M")=0),SQRT(-1),(1+'Model inputs'!AB383)^DATEDIF(DATE(2026,11,1),DATE(2027,4,1),"M"))</f>
        <v>7.346640384000002</v>
      </c>
      <c r="J313" s="9">
        <f>'Model inputs'!AB379*IF(AND((1+'Model inputs'!AB383)=0,DATEDIF(DATE(2026,11,1),DATE(2027,5,1),"M")=0),SQRT(-1),(1+'Model inputs'!AB383)^DATEDIF(DATE(2026,11,1),DATE(2027,5,1),"M"))</f>
        <v>7.9343716147200025</v>
      </c>
      <c r="K313" s="9">
        <f>'Model inputs'!AB379*IF(AND((1+'Model inputs'!AB383)=0,DATEDIF(DATE(2026,11,1),DATE(2027,6,1),"M")=0),SQRT(-1),(1+'Model inputs'!AB383)^DATEDIF(DATE(2026,11,1),DATE(2027,6,1),"M"))</f>
        <v>8.569121343897605</v>
      </c>
      <c r="L313" s="9">
        <f>'Model inputs'!AB379*IF(AND((1+'Model inputs'!AB383)=0,DATEDIF(DATE(2026,11,1),DATE(2027,7,1),"M")=0),SQRT(-1),(1+'Model inputs'!AB383)^DATEDIF(DATE(2026,11,1),DATE(2027,7,1),"M"))</f>
        <v>9.254651051409413</v>
      </c>
      <c r="M313" s="9">
        <f>'Model inputs'!AB379*IF(AND((1+'Model inputs'!AB383)=0,DATEDIF(DATE(2026,11,1),DATE(2027,8,1),"M")=0),SQRT(-1),(1+'Model inputs'!AB383)^DATEDIF(DATE(2026,11,1),DATE(2027,8,1),"M"))</f>
        <v>9.995023135522166</v>
      </c>
      <c r="N313" s="9">
        <f>'Model inputs'!AB379*IF(AND((1+'Model inputs'!AB383)=0,DATEDIF(DATE(2026,11,1),DATE(2027,9,1),"M")=0),SQRT(-1),(1+'Model inputs'!AB383)^DATEDIF(DATE(2026,11,1),DATE(2027,9,1),"M"))</f>
        <v>10.79462498636394</v>
      </c>
      <c r="O313" s="9">
        <f>'Model inputs'!AB379*IF(AND((1+'Model inputs'!AB383)=0,DATEDIF(DATE(2026,11,1),DATE(2027,10,1),"M")=0),SQRT(-1),(1+'Model inputs'!AB383)^DATEDIF(DATE(2026,11,1),DATE(2027,10,1),"M"))</f>
        <v>11.658194985273056</v>
      </c>
      <c r="P313" s="9">
        <f>'Model inputs'!AB379*IF(AND((1+'Model inputs'!AB383)=0,DATEDIF(DATE(2026,11,1),DATE(2027,11,1),"M")=0),SQRT(-1),(1+'Model inputs'!AB383)^DATEDIF(DATE(2026,11,1),DATE(2027,11,1),"M"))</f>
        <v>12.590850584094902</v>
      </c>
      <c r="Q313" s="9">
        <f>'Model inputs'!AB379*IF(AND((1+'Model inputs'!AB383)=0,DATEDIF(DATE(2026,11,1),DATE(2027,12,1),"M")=0),SQRT(-1),(1+'Model inputs'!AB383)^DATEDIF(DATE(2026,11,1),DATE(2027,12,1),"M"))</f>
        <v>13.598118630822496</v>
      </c>
      <c r="R313" s="9">
        <f>'Model inputs'!AB379*IF(AND((1+'Model inputs'!AB383)=0,DATEDIF(DATE(2026,11,1),DATE(2028,1,1),"M")=0),SQRT(-1),(1+'Model inputs'!AB383)^DATEDIF(DATE(2026,11,1),DATE(2028,1,1),"M"))</f>
        <v>14.685968121288296</v>
      </c>
      <c r="S313" s="9">
        <f>'Model inputs'!AB379*IF(AND((1+'Model inputs'!AB383)=0,DATEDIF(DATE(2026,11,1),DATE(2028,2,1),"M")=0),SQRT(-1),(1+'Model inputs'!AB383)^DATEDIF(DATE(2026,11,1),DATE(2028,2,1),"M"))</f>
        <v>15.86084557099136</v>
      </c>
      <c r="T313" s="9">
        <f>'Model inputs'!AB379*IF(AND((1+'Model inputs'!AB383)=0,DATEDIF(DATE(2026,11,1),DATE(2028,3,1),"M")=0),SQRT(-1),(1+'Model inputs'!AB383)^DATEDIF(DATE(2026,11,1),DATE(2028,3,1),"M"))</f>
        <v>17.12971321667067</v>
      </c>
      <c r="U313" s="9">
        <f>'Model inputs'!AB379*IF(AND((1+'Model inputs'!AB383)=0,DATEDIF(DATE(2026,11,1),DATE(2028,4,1),"M")=0),SQRT(-1),(1+'Model inputs'!AB383)^DATEDIF(DATE(2026,11,1),DATE(2028,4,1),"M"))</f>
        <v>18.500090274004325</v>
      </c>
      <c r="V313" s="9">
        <f>'Model inputs'!AB379*IF(AND((1+'Model inputs'!AB383)=0,DATEDIF(DATE(2026,11,1),DATE(2028,5,1),"M")=0),SQRT(-1),(1+'Model inputs'!AB383)^DATEDIF(DATE(2026,11,1),DATE(2028,5,1),"M"))</f>
        <v>19.98009749592467</v>
      </c>
      <c r="W313" s="9">
        <f>'Model inputs'!AB379*IF(AND((1+'Model inputs'!AB383)=0,DATEDIF(DATE(2026,11,1),DATE(2028,6,1),"M")=0),SQRT(-1),(1+'Model inputs'!AB383)^DATEDIF(DATE(2026,11,1),DATE(2028,6,1),"M"))</f>
        <v>21.578505295598646</v>
      </c>
      <c r="X313" s="9">
        <f>'Model inputs'!AB379*IF(AND((1+'Model inputs'!AB383)=0,DATEDIF(DATE(2026,11,1),DATE(2028,7,1),"M")=0),SQRT(-1),(1+'Model inputs'!AB383)^DATEDIF(DATE(2026,11,1),DATE(2028,7,1),"M"))</f>
        <v>23.304785719246542</v>
      </c>
      <c r="Y313" s="9">
        <f>'Model inputs'!AB379*IF(AND((1+'Model inputs'!AB383)=0,DATEDIF(DATE(2026,11,1),DATE(2028,8,1),"M")=0),SQRT(-1),(1+'Model inputs'!AB383)^DATEDIF(DATE(2026,11,1),DATE(2028,8,1),"M"))</f>
        <v>25.169168576786266</v>
      </c>
      <c r="Z313" s="9">
        <f>'Model inputs'!AB379*IF(AND((1+'Model inputs'!AB383)=0,DATEDIF(DATE(2026,11,1),DATE(2028,9,1),"M")=0),SQRT(-1),(1+'Model inputs'!AB383)^DATEDIF(DATE(2026,11,1),DATE(2028,9,1),"M"))</f>
        <v>27.18270206292917</v>
      </c>
      <c r="AA313" s="9">
        <f>'Model inputs'!AB379*IF(AND((1+'Model inputs'!AB383)=0,DATEDIF(DATE(2026,11,1),DATE(2028,10,1),"M")=0),SQRT(-1),(1+'Model inputs'!AB383)^DATEDIF(DATE(2026,11,1),DATE(2028,10,1),"M"))</f>
        <v>29.357318227963503</v>
      </c>
      <c r="AD313" s="9">
        <f>0</f>
        <v>0</v>
      </c>
      <c r="AE313" s="9">
        <f>0</f>
        <v>0</v>
      </c>
      <c r="AF313" s="9">
        <f>0</f>
        <v>0</v>
      </c>
      <c r="AG313" s="9">
        <f>0</f>
        <v>0</v>
      </c>
      <c r="AH313" s="9">
        <f>0</f>
        <v>0</v>
      </c>
      <c r="AI313" s="9">
        <f>0</f>
        <v>0</v>
      </c>
      <c r="AJ313" s="9">
        <f>0</f>
        <v>0</v>
      </c>
      <c r="AK313" s="9">
        <f>0</f>
        <v>0</v>
      </c>
    </row>
    <row r="314" outlineLevel="1">
      <c r="A314" t="inlineStr" s="24">
        <is>
          <t xml:space="preserve">Qualified prospects &gt; Developer</t>
        </is>
      </c>
      <c r="B314" s="9">
        <f>0</f>
        <v>0</v>
      </c>
      <c r="C314" s="9">
        <f>0</f>
        <v>0</v>
      </c>
      <c r="D314" s="9">
        <f>'Model inputs'!AB380*IF(AND((1+'Model inputs'!AB383)=0,DATEDIF(DATE(2026,11,1),DATE(2026,11,1),"M")=0),SQRT(-1),(1+'Model inputs'!AB383)^DATEDIF(DATE(2026,11,1),DATE(2026,11,1),"M"))</f>
        <v>40</v>
      </c>
      <c r="E314" s="9">
        <f>'Model inputs'!AB380*IF(AND((1+'Model inputs'!AB383)=0,DATEDIF(DATE(2026,11,1),DATE(2026,12,1),"M")=0),SQRT(-1),(1+'Model inputs'!AB383)^DATEDIF(DATE(2026,11,1),DATE(2026,12,1),"M"))</f>
        <v>43.2</v>
      </c>
      <c r="F314" s="9">
        <f>'Model inputs'!AB380*IF(AND((1+'Model inputs'!AB383)=0,DATEDIF(DATE(2026,11,1),DATE(2027,1,1),"M")=0),SQRT(-1),(1+'Model inputs'!AB383)^DATEDIF(DATE(2026,11,1),DATE(2027,1,1),"M"))</f>
        <v>46.656000000000006</v>
      </c>
      <c r="G314" s="9">
        <f>'Model inputs'!AB380*IF(AND((1+'Model inputs'!AB383)=0,DATEDIF(DATE(2026,11,1),DATE(2027,2,1),"M")=0),SQRT(-1),(1+'Model inputs'!AB383)^DATEDIF(DATE(2026,11,1),DATE(2027,2,1),"M"))</f>
        <v>50.38848000000001</v>
      </c>
      <c r="H314" s="9">
        <f>'Model inputs'!AB380*IF(AND((1+'Model inputs'!AB383)=0,DATEDIF(DATE(2026,11,1),DATE(2027,3,1),"M")=0),SQRT(-1),(1+'Model inputs'!AB383)^DATEDIF(DATE(2026,11,1),DATE(2027,3,1),"M"))</f>
        <v>54.419558400000014</v>
      </c>
      <c r="I314" s="9">
        <f>'Model inputs'!AB380*IF(AND((1+'Model inputs'!AB383)=0,DATEDIF(DATE(2026,11,1),DATE(2027,4,1),"M")=0),SQRT(-1),(1+'Model inputs'!AB383)^DATEDIF(DATE(2026,11,1),DATE(2027,4,1),"M"))</f>
        <v>58.77312307200002</v>
      </c>
      <c r="J314" s="9">
        <f>'Model inputs'!AB380*IF(AND((1+'Model inputs'!AB383)=0,DATEDIF(DATE(2026,11,1),DATE(2027,5,1),"M")=0),SQRT(-1),(1+'Model inputs'!AB383)^DATEDIF(DATE(2026,11,1),DATE(2027,5,1),"M"))</f>
        <v>63.47497291776002</v>
      </c>
      <c r="K314" s="9">
        <f>'Model inputs'!AB380*IF(AND((1+'Model inputs'!AB383)=0,DATEDIF(DATE(2026,11,1),DATE(2027,6,1),"M")=0),SQRT(-1),(1+'Model inputs'!AB383)^DATEDIF(DATE(2026,11,1),DATE(2027,6,1),"M"))</f>
        <v>68.55297075118084</v>
      </c>
      <c r="L314" s="9">
        <f>'Model inputs'!AB380*IF(AND((1+'Model inputs'!AB383)=0,DATEDIF(DATE(2026,11,1),DATE(2027,7,1),"M")=0),SQRT(-1),(1+'Model inputs'!AB383)^DATEDIF(DATE(2026,11,1),DATE(2027,7,1),"M"))</f>
        <v>74.0372084112753</v>
      </c>
      <c r="M314" s="9">
        <f>'Model inputs'!AB380*IF(AND((1+'Model inputs'!AB383)=0,DATEDIF(DATE(2026,11,1),DATE(2027,8,1),"M")=0),SQRT(-1),(1+'Model inputs'!AB383)^DATEDIF(DATE(2026,11,1),DATE(2027,8,1),"M"))</f>
        <v>79.96018508417733</v>
      </c>
      <c r="N314" s="9">
        <f>'Model inputs'!AB380*IF(AND((1+'Model inputs'!AB383)=0,DATEDIF(DATE(2026,11,1),DATE(2027,9,1),"M")=0),SQRT(-1),(1+'Model inputs'!AB383)^DATEDIF(DATE(2026,11,1),DATE(2027,9,1),"M"))</f>
        <v>86.35699989091152</v>
      </c>
      <c r="O314" s="9">
        <f>'Model inputs'!AB380*IF(AND((1+'Model inputs'!AB383)=0,DATEDIF(DATE(2026,11,1),DATE(2027,10,1),"M")=0),SQRT(-1),(1+'Model inputs'!AB383)^DATEDIF(DATE(2026,11,1),DATE(2027,10,1),"M"))</f>
        <v>93.26555988218445</v>
      </c>
      <c r="P314" s="9">
        <f>'Model inputs'!AB380*IF(AND((1+'Model inputs'!AB383)=0,DATEDIF(DATE(2026,11,1),DATE(2027,11,1),"M")=0),SQRT(-1),(1+'Model inputs'!AB383)^DATEDIF(DATE(2026,11,1),DATE(2027,11,1),"M"))</f>
        <v>100.72680467275922</v>
      </c>
      <c r="Q314" s="9">
        <f>'Model inputs'!AB380*IF(AND((1+'Model inputs'!AB383)=0,DATEDIF(DATE(2026,11,1),DATE(2027,12,1),"M")=0),SQRT(-1),(1+'Model inputs'!AB383)^DATEDIF(DATE(2026,11,1),DATE(2027,12,1),"M"))</f>
        <v>108.78494904657997</v>
      </c>
      <c r="R314" s="9">
        <f>'Model inputs'!AB380*IF(AND((1+'Model inputs'!AB383)=0,DATEDIF(DATE(2026,11,1),DATE(2028,1,1),"M")=0),SQRT(-1),(1+'Model inputs'!AB383)^DATEDIF(DATE(2026,11,1),DATE(2028,1,1),"M"))</f>
        <v>117.48774497030637</v>
      </c>
      <c r="S314" s="9">
        <f>'Model inputs'!AB380*IF(AND((1+'Model inputs'!AB383)=0,DATEDIF(DATE(2026,11,1),DATE(2028,2,1),"M")=0),SQRT(-1),(1+'Model inputs'!AB383)^DATEDIF(DATE(2026,11,1),DATE(2028,2,1),"M"))</f>
        <v>126.88676456793088</v>
      </c>
      <c r="T314" s="9">
        <f>'Model inputs'!AB380*IF(AND((1+'Model inputs'!AB383)=0,DATEDIF(DATE(2026,11,1),DATE(2028,3,1),"M")=0),SQRT(-1),(1+'Model inputs'!AB383)^DATEDIF(DATE(2026,11,1),DATE(2028,3,1),"M"))</f>
        <v>137.03770573336536</v>
      </c>
      <c r="U314" s="9">
        <f>'Model inputs'!AB380*IF(AND((1+'Model inputs'!AB383)=0,DATEDIF(DATE(2026,11,1),DATE(2028,4,1),"M")=0),SQRT(-1),(1+'Model inputs'!AB383)^DATEDIF(DATE(2026,11,1),DATE(2028,4,1),"M"))</f>
        <v>148.0007221920346</v>
      </c>
      <c r="V314" s="9">
        <f>'Model inputs'!AB380*IF(AND((1+'Model inputs'!AB383)=0,DATEDIF(DATE(2026,11,1),DATE(2028,5,1),"M")=0),SQRT(-1),(1+'Model inputs'!AB383)^DATEDIF(DATE(2026,11,1),DATE(2028,5,1),"M"))</f>
        <v>159.84077996739737</v>
      </c>
      <c r="W314" s="9">
        <f>'Model inputs'!AB380*IF(AND((1+'Model inputs'!AB383)=0,DATEDIF(DATE(2026,11,1),DATE(2028,6,1),"M")=0),SQRT(-1),(1+'Model inputs'!AB383)^DATEDIF(DATE(2026,11,1),DATE(2028,6,1),"M"))</f>
        <v>172.62804236478917</v>
      </c>
      <c r="X314" s="9">
        <f>'Model inputs'!AB380*IF(AND((1+'Model inputs'!AB383)=0,DATEDIF(DATE(2026,11,1),DATE(2028,7,1),"M")=0),SQRT(-1),(1+'Model inputs'!AB383)^DATEDIF(DATE(2026,11,1),DATE(2028,7,1),"M"))</f>
        <v>186.43828575397234</v>
      </c>
      <c r="Y314" s="9">
        <f>'Model inputs'!AB380*IF(AND((1+'Model inputs'!AB383)=0,DATEDIF(DATE(2026,11,1),DATE(2028,8,1),"M")=0),SQRT(-1),(1+'Model inputs'!AB383)^DATEDIF(DATE(2026,11,1),DATE(2028,8,1),"M"))</f>
        <v>201.35334861429013</v>
      </c>
      <c r="Z314" s="9">
        <f>'Model inputs'!AB380*IF(AND((1+'Model inputs'!AB383)=0,DATEDIF(DATE(2026,11,1),DATE(2028,9,1),"M")=0),SQRT(-1),(1+'Model inputs'!AB383)^DATEDIF(DATE(2026,11,1),DATE(2028,9,1),"M"))</f>
        <v>217.46161650343336</v>
      </c>
      <c r="AA314" s="9">
        <f>'Model inputs'!AB380*IF(AND((1+'Model inputs'!AB383)=0,DATEDIF(DATE(2026,11,1),DATE(2028,10,1),"M")=0),SQRT(-1),(1+'Model inputs'!AB383)^DATEDIF(DATE(2026,11,1),DATE(2028,10,1),"M"))</f>
        <v>234.85854582370803</v>
      </c>
      <c r="AD314" s="9">
        <f>0</f>
        <v>0</v>
      </c>
      <c r="AE314" s="9">
        <f>0</f>
        <v>0</v>
      </c>
      <c r="AF314" s="9">
        <f>0</f>
        <v>0</v>
      </c>
      <c r="AG314" s="9">
        <f>0</f>
        <v>0</v>
      </c>
      <c r="AH314" s="9">
        <f>0</f>
        <v>0</v>
      </c>
      <c r="AI314" s="9">
        <f>0</f>
        <v>0</v>
      </c>
      <c r="AJ314" s="9">
        <f>0</f>
        <v>0</v>
      </c>
      <c r="AK314" s="9">
        <f>0</f>
        <v>0</v>
      </c>
    </row>
    <row r="315" outlineLevel="1">
      <c r="A315" t="inlineStr" s="24">
        <is>
          <t xml:space="preserve">Qualified prospects &gt; Team</t>
        </is>
      </c>
      <c r="B315" s="9">
        <f>0</f>
        <v>0</v>
      </c>
      <c r="C315" s="9">
        <f>0</f>
        <v>0</v>
      </c>
      <c r="D315" s="9">
        <f>'Model inputs'!AB381*IF(AND((1+'Model inputs'!AB383)=0,DATEDIF(DATE(2026,11,1),DATE(2026,11,1),"M")=0),SQRT(-1),(1+'Model inputs'!AB383)^DATEDIF(DATE(2026,11,1),DATE(2026,11,1),"M"))</f>
        <v>20</v>
      </c>
      <c r="E315" s="9">
        <f>'Model inputs'!AB381*IF(AND((1+'Model inputs'!AB383)=0,DATEDIF(DATE(2026,11,1),DATE(2026,12,1),"M")=0),SQRT(-1),(1+'Model inputs'!AB383)^DATEDIF(DATE(2026,11,1),DATE(2026,12,1),"M"))</f>
        <v>21.6</v>
      </c>
      <c r="F315" s="9">
        <f>'Model inputs'!AB381*IF(AND((1+'Model inputs'!AB383)=0,DATEDIF(DATE(2026,11,1),DATE(2027,1,1),"M")=0),SQRT(-1),(1+'Model inputs'!AB383)^DATEDIF(DATE(2026,11,1),DATE(2027,1,1),"M"))</f>
        <v>23.328000000000003</v>
      </c>
      <c r="G315" s="9">
        <f>'Model inputs'!AB381*IF(AND((1+'Model inputs'!AB383)=0,DATEDIF(DATE(2026,11,1),DATE(2027,2,1),"M")=0),SQRT(-1),(1+'Model inputs'!AB383)^DATEDIF(DATE(2026,11,1),DATE(2027,2,1),"M"))</f>
        <v>25.194240000000004</v>
      </c>
      <c r="H315" s="9">
        <f>'Model inputs'!AB381*IF(AND((1+'Model inputs'!AB383)=0,DATEDIF(DATE(2026,11,1),DATE(2027,3,1),"M")=0),SQRT(-1),(1+'Model inputs'!AB383)^DATEDIF(DATE(2026,11,1),DATE(2027,3,1),"M"))</f>
        <v>27.209779200000007</v>
      </c>
      <c r="I315" s="9">
        <f>'Model inputs'!AB381*IF(AND((1+'Model inputs'!AB383)=0,DATEDIF(DATE(2026,11,1),DATE(2027,4,1),"M")=0),SQRT(-1),(1+'Model inputs'!AB383)^DATEDIF(DATE(2026,11,1),DATE(2027,4,1),"M"))</f>
        <v>29.38656153600001</v>
      </c>
      <c r="J315" s="9">
        <f>'Model inputs'!AB381*IF(AND((1+'Model inputs'!AB383)=0,DATEDIF(DATE(2026,11,1),DATE(2027,5,1),"M")=0),SQRT(-1),(1+'Model inputs'!AB383)^DATEDIF(DATE(2026,11,1),DATE(2027,5,1),"M"))</f>
        <v>31.73748645888001</v>
      </c>
      <c r="K315" s="9">
        <f>'Model inputs'!AB381*IF(AND((1+'Model inputs'!AB383)=0,DATEDIF(DATE(2026,11,1),DATE(2027,6,1),"M")=0),SQRT(-1),(1+'Model inputs'!AB383)^DATEDIF(DATE(2026,11,1),DATE(2027,6,1),"M"))</f>
        <v>34.27648537559042</v>
      </c>
      <c r="L315" s="9">
        <f>'Model inputs'!AB381*IF(AND((1+'Model inputs'!AB383)=0,DATEDIF(DATE(2026,11,1),DATE(2027,7,1),"M")=0),SQRT(-1),(1+'Model inputs'!AB383)^DATEDIF(DATE(2026,11,1),DATE(2027,7,1),"M"))</f>
        <v>37.01860420563765</v>
      </c>
      <c r="M315" s="9">
        <f>'Model inputs'!AB381*IF(AND((1+'Model inputs'!AB383)=0,DATEDIF(DATE(2026,11,1),DATE(2027,8,1),"M")=0),SQRT(-1),(1+'Model inputs'!AB383)^DATEDIF(DATE(2026,11,1),DATE(2027,8,1),"M"))</f>
        <v>39.98009254208866</v>
      </c>
      <c r="N315" s="9">
        <f>'Model inputs'!AB381*IF(AND((1+'Model inputs'!AB383)=0,DATEDIF(DATE(2026,11,1),DATE(2027,9,1),"M")=0),SQRT(-1),(1+'Model inputs'!AB383)^DATEDIF(DATE(2026,11,1),DATE(2027,9,1),"M"))</f>
        <v>43.17849994545576</v>
      </c>
      <c r="O315" s="9">
        <f>'Model inputs'!AB381*IF(AND((1+'Model inputs'!AB383)=0,DATEDIF(DATE(2026,11,1),DATE(2027,10,1),"M")=0),SQRT(-1),(1+'Model inputs'!AB383)^DATEDIF(DATE(2026,11,1),DATE(2027,10,1),"M"))</f>
        <v>46.632779941092224</v>
      </c>
      <c r="P315" s="9">
        <f>'Model inputs'!AB381*IF(AND((1+'Model inputs'!AB383)=0,DATEDIF(DATE(2026,11,1),DATE(2027,11,1),"M")=0),SQRT(-1),(1+'Model inputs'!AB383)^DATEDIF(DATE(2026,11,1),DATE(2027,11,1),"M"))</f>
        <v>50.36340233637961</v>
      </c>
      <c r="Q315" s="9">
        <f>'Model inputs'!AB381*IF(AND((1+'Model inputs'!AB383)=0,DATEDIF(DATE(2026,11,1),DATE(2027,12,1),"M")=0),SQRT(-1),(1+'Model inputs'!AB383)^DATEDIF(DATE(2026,11,1),DATE(2027,12,1),"M"))</f>
        <v>54.392474523289984</v>
      </c>
      <c r="R315" s="9">
        <f>'Model inputs'!AB381*IF(AND((1+'Model inputs'!AB383)=0,DATEDIF(DATE(2026,11,1),DATE(2028,1,1),"M")=0),SQRT(-1),(1+'Model inputs'!AB383)^DATEDIF(DATE(2026,11,1),DATE(2028,1,1),"M"))</f>
        <v>58.74387248515318</v>
      </c>
      <c r="S315" s="9">
        <f>'Model inputs'!AB381*IF(AND((1+'Model inputs'!AB383)=0,DATEDIF(DATE(2026,11,1),DATE(2028,2,1),"M")=0),SQRT(-1),(1+'Model inputs'!AB383)^DATEDIF(DATE(2026,11,1),DATE(2028,2,1),"M"))</f>
        <v>63.44338228396544</v>
      </c>
      <c r="T315" s="9">
        <f>'Model inputs'!AB381*IF(AND((1+'Model inputs'!AB383)=0,DATEDIF(DATE(2026,11,1),DATE(2028,3,1),"M")=0),SQRT(-1),(1+'Model inputs'!AB383)^DATEDIF(DATE(2026,11,1),DATE(2028,3,1),"M"))</f>
        <v>68.51885286668268</v>
      </c>
      <c r="U315" s="9">
        <f>'Model inputs'!AB381*IF(AND((1+'Model inputs'!AB383)=0,DATEDIF(DATE(2026,11,1),DATE(2028,4,1),"M")=0),SQRT(-1),(1+'Model inputs'!AB383)^DATEDIF(DATE(2026,11,1),DATE(2028,4,1),"M"))</f>
        <v>74.0003610960173</v>
      </c>
      <c r="V315" s="9">
        <f>'Model inputs'!AB381*IF(AND((1+'Model inputs'!AB383)=0,DATEDIF(DATE(2026,11,1),DATE(2028,5,1),"M")=0),SQRT(-1),(1+'Model inputs'!AB383)^DATEDIF(DATE(2026,11,1),DATE(2028,5,1),"M"))</f>
        <v>79.92038998369868</v>
      </c>
      <c r="W315" s="9">
        <f>'Model inputs'!AB381*IF(AND((1+'Model inputs'!AB383)=0,DATEDIF(DATE(2026,11,1),DATE(2028,6,1),"M")=0),SQRT(-1),(1+'Model inputs'!AB383)^DATEDIF(DATE(2026,11,1),DATE(2028,6,1),"M"))</f>
        <v>86.31402118239458</v>
      </c>
      <c r="X315" s="9">
        <f>'Model inputs'!AB381*IF(AND((1+'Model inputs'!AB383)=0,DATEDIF(DATE(2026,11,1),DATE(2028,7,1),"M")=0),SQRT(-1),(1+'Model inputs'!AB383)^DATEDIF(DATE(2026,11,1),DATE(2028,7,1),"M"))</f>
        <v>93.21914287698617</v>
      </c>
      <c r="Y315" s="9">
        <f>'Model inputs'!AB381*IF(AND((1+'Model inputs'!AB383)=0,DATEDIF(DATE(2026,11,1),DATE(2028,8,1),"M")=0),SQRT(-1),(1+'Model inputs'!AB383)^DATEDIF(DATE(2026,11,1),DATE(2028,8,1),"M"))</f>
        <v>100.67667430714506</v>
      </c>
      <c r="Z315" s="9">
        <f>'Model inputs'!AB381*IF(AND((1+'Model inputs'!AB383)=0,DATEDIF(DATE(2026,11,1),DATE(2028,9,1),"M")=0),SQRT(-1),(1+'Model inputs'!AB383)^DATEDIF(DATE(2026,11,1),DATE(2028,9,1),"M"))</f>
        <v>108.73080825171668</v>
      </c>
      <c r="AA315" s="9">
        <f>'Model inputs'!AB381*IF(AND((1+'Model inputs'!AB383)=0,DATEDIF(DATE(2026,11,1),DATE(2028,10,1),"M")=0),SQRT(-1),(1+'Model inputs'!AB383)^DATEDIF(DATE(2026,11,1),DATE(2028,10,1),"M"))</f>
        <v>117.42927291185401</v>
      </c>
      <c r="AD315" s="9">
        <f>0</f>
        <v>0</v>
      </c>
      <c r="AE315" s="9">
        <f>0</f>
        <v>0</v>
      </c>
      <c r="AF315" s="9">
        <f>0</f>
        <v>0</v>
      </c>
      <c r="AG315" s="9">
        <f>0</f>
        <v>0</v>
      </c>
      <c r="AH315" s="9">
        <f>0</f>
        <v>0</v>
      </c>
      <c r="AI315" s="9">
        <f>0</f>
        <v>0</v>
      </c>
      <c r="AJ315" s="9">
        <f>0</f>
        <v>0</v>
      </c>
      <c r="AK315" s="9">
        <f>0</f>
        <v>0</v>
      </c>
    </row>
    <row r="316">
      <c r="A316" t="inlineStr" s="23">
        <is>
          <t xml:space="preserve">Subscription revenue</t>
        </is>
      </c>
      <c r="B316" s="11">
        <f>IF('Model inputs'!B84="","",'Model inputs'!B84)</f>
        <v>0</v>
      </c>
      <c r="C316" s="11">
        <f>IF('Model inputs'!C84="","",'Model inputs'!C84)</f>
        <v>0</v>
      </c>
      <c r="D316" s="11">
        <f>IF('Model inputs'!D84="","",'Model inputs'!D84)</f>
        <v>405.5</v>
      </c>
      <c r="E316" s="11">
        <f>IF('Model inputs'!E84="","",'Model inputs'!E84)</f>
        <v>819.11</v>
      </c>
      <c r="F316" s="11">
        <f>IF('Model inputs'!F84="","",'Model inputs'!F84)</f>
        <v>1241.60045</v>
      </c>
      <c r="G316" s="11">
        <f>IF('Model inputs'!G84="","",'Model inputs'!G84)</f>
        <v>1673.769374</v>
      </c>
      <c r="H316" s="11">
        <f>IF('Model inputs'!H84="","",'Model inputs'!H84)</f>
        <v>2116.4440771550007</v>
      </c>
      <c r="I316" s="11">
        <f>IF('Model inputs'!I84="","",'Model inputs'!I84)</f>
        <v>2570.4829284341004</v>
      </c>
      <c r="J316" s="11">
        <f>IF('Model inputs'!J84="","",'Model inputs'!J84)</f>
        <v>3036.7772228545155</v>
      </c>
      <c r="K316" s="11">
        <f>IF('Model inputs'!K84="","",'Model inputs'!K84)</f>
        <v>3516.2531275559895</v>
      </c>
      <c r="L316" s="11">
        <f>IF('Model inputs'!L84="","",'Model inputs'!L84)</f>
        <v>4009.8737161857753</v>
      </c>
      <c r="M316" s="11">
        <f>IF('Model inputs'!M84="","",'Model inputs'!M84)</f>
        <v>4518.641096279491</v>
      </c>
      <c r="N316" s="11">
        <f>IF('Model inputs'!N84="","",'Model inputs'!N84)</f>
        <v>5043.598634549358</v>
      </c>
      <c r="O316" s="11">
        <f>IF('Model inputs'!O84="","",'Model inputs'!O84)</f>
        <v>5585.833285229044</v>
      </c>
      <c r="P316" s="11">
        <f>IF('Model inputs'!P84="","",'Model inputs'!P84)</f>
        <v>6146.478026874147</v>
      </c>
      <c r="Q316" s="11">
        <f>IF('Model inputs'!Q84="","",'Model inputs'!Q84)</f>
        <v>6726.714413279994</v>
      </c>
      <c r="R316" s="11">
        <f>IF('Model inputs'!R84="","",'Model inputs'!R84)</f>
        <v>7327.775244454271</v>
      </c>
      <c r="S316" s="11">
        <f>IF('Model inputs'!S84="","",'Model inputs'!S84)</f>
        <v>7950.947363871954</v>
      </c>
      <c r="T316" s="11">
        <f>IF('Model inputs'!T84="","",'Model inputs'!T84)</f>
        <v>8597.57458854467</v>
      </c>
      <c r="U316" s="11">
        <f>IF('Model inputs'!U84="","",'Model inputs'!U84)</f>
        <v>9269.060778756651</v>
      </c>
      <c r="V316" s="11">
        <f>IF('Model inputs'!V84="","",'Model inputs'!V84)</f>
        <v>9966.873054655687</v>
      </c>
      <c r="W316" s="11">
        <f>IF('Model inputs'!W84="","",'Model inputs'!W84)</f>
        <v>10692.545167240838</v>
      </c>
      <c r="X316" s="11">
        <f>IF('Model inputs'!X84="","",'Model inputs'!X84)</f>
        <v>11447.681031659677</v>
      </c>
      <c r="Y316" s="11">
        <f>IF('Model inputs'!Y84="","",'Model inputs'!Y84)</f>
        <v>12233.958431117753</v>
      </c>
      <c r="Z316" s="11">
        <f>IF('Model inputs'!Z84="","",'Model inputs'!Z84)</f>
        <v>13053.13290011248</v>
      </c>
      <c r="AA316" s="11">
        <f>IF('Model inputs'!AA84="","",'Model inputs'!AA84)</f>
        <v>13907.041796133777</v>
      </c>
      <c r="AD316" s="11">
        <f>SUM('Model inputs'!AD317,'Model inputs'!AD318,'Model inputs'!AD319)</f>
        <v>0</v>
      </c>
      <c r="AE316" s="11">
        <f>SUM('Model inputs'!AE317,'Model inputs'!AE318,'Model inputs'!AE319)</f>
        <v>0</v>
      </c>
      <c r="AF316" s="11">
        <f>SUM('Model inputs'!AF317,'Model inputs'!AF318,'Model inputs'!AF319)</f>
        <v>0</v>
      </c>
      <c r="AG316" s="11">
        <f>SUM('Model inputs'!AG317,'Model inputs'!AG318,'Model inputs'!AG319)</f>
        <v>0</v>
      </c>
      <c r="AH316" s="11">
        <f>SUM('Model inputs'!AH317,'Model inputs'!AH318,'Model inputs'!AH319)</f>
        <v>0</v>
      </c>
      <c r="AI316" s="11">
        <f>SUM('Model inputs'!AI317,'Model inputs'!AI318,'Model inputs'!AI319)</f>
        <v>0</v>
      </c>
      <c r="AJ316" s="11">
        <f>SUM('Model inputs'!AJ317,'Model inputs'!AJ318,'Model inputs'!AJ319)</f>
        <v>0</v>
      </c>
      <c r="AK316" s="11">
        <f>SUM('Model inputs'!AK317,'Model inputs'!AK318,'Model inputs'!AK319)</f>
        <v>0</v>
      </c>
    </row>
    <row r="317" outlineLevel="1">
      <c r="A317" t="inlineStr" s="24">
        <is>
          <t xml:space="preserve">Subscription revenue &gt; Agency</t>
        </is>
      </c>
      <c r="B317" s="14">
        <f>IF('Model inputs'!B85="","",'Model inputs'!B85)</f>
        <v>0</v>
      </c>
      <c r="C317" s="14">
        <f>IF('Model inputs'!C85="","",'Model inputs'!C85)</f>
        <v>0</v>
      </c>
      <c r="D317" s="14">
        <f>IF('Model inputs'!D85="","",'Model inputs'!D85)</f>
        <v>149.5</v>
      </c>
      <c r="E317" s="14">
        <f>IF('Model inputs'!E85="","",'Model inputs'!E85)</f>
        <v>301.99</v>
      </c>
      <c r="F317" s="14">
        <f>IF('Model inputs'!F85="","",'Model inputs'!F85)</f>
        <v>457.75405</v>
      </c>
      <c r="G317" s="14">
        <f>IF('Model inputs'!G85="","",'Model inputs'!G85)</f>
        <v>617.086366</v>
      </c>
      <c r="H317" s="14">
        <f>IF('Model inputs'!H85="","",'Model inputs'!H85)</f>
        <v>780.2919593950002</v>
      </c>
      <c r="I317" s="14">
        <f>IF('Model inputs'!I85="","",'Model inputs'!I85)</f>
        <v>947.6872942069001</v>
      </c>
      <c r="J317" s="14">
        <f>IF('Model inputs'!J85="","",'Model inputs'!J85)</f>
        <v>1119.6009736541307</v>
      </c>
      <c r="K317" s="14">
        <f>IF('Model inputs'!K85="","",'Model inputs'!K85)</f>
        <v>1296.3744576316165</v>
      </c>
      <c r="L317" s="14">
        <f>IF('Model inputs'!L85="","",'Model inputs'!L85)</f>
        <v>1478.362812749133</v>
      </c>
      <c r="M317" s="14">
        <f>IF('Model inputs'!M85="","",'Model inputs'!M85)</f>
        <v>1665.9354966554472</v>
      </c>
      <c r="N317" s="14">
        <f>IF('Model inputs'!N85="","",'Model inputs'!N85)</f>
        <v>1859.4771784590114</v>
      </c>
      <c r="O317" s="14">
        <f>IF('Model inputs'!O85="","",'Model inputs'!O85)</f>
        <v>2059.3885971436302</v>
      </c>
      <c r="P317" s="14">
        <f>IF('Model inputs'!P85="","",'Model inputs'!P85)</f>
        <v>2266.08745996963</v>
      </c>
      <c r="Q317" s="14">
        <f>IF('Model inputs'!Q85="","",'Model inputs'!Q85)</f>
        <v>2480.0093829478647</v>
      </c>
      <c r="R317" s="14">
        <f>IF('Model inputs'!R85="","",'Model inputs'!R85)</f>
        <v>2701.608875575619</v>
      </c>
      <c r="S317" s="14">
        <f>IF('Model inputs'!S85="","",'Model inputs'!S85)</f>
        <v>2931.3603721303502</v>
      </c>
      <c r="T317" s="14">
        <f>IF('Model inputs'!T85="","",'Model inputs'!T85)</f>
        <v>3169.7593119295398</v>
      </c>
      <c r="U317" s="14">
        <f>IF('Model inputs'!U85="","",'Model inputs'!U85)</f>
        <v>3417.3232710829084</v>
      </c>
      <c r="V317" s="14">
        <f>IF('Model inputs'!V85="","",'Model inputs'!V85)</f>
        <v>3674.593148387238</v>
      </c>
      <c r="W317" s="14">
        <f>IF('Model inputs'!W85="","",'Model inputs'!W85)</f>
        <v>3942.1344081442794</v>
      </c>
      <c r="X317" s="14">
        <f>IF('Model inputs'!X85="","",'Model inputs'!X85)</f>
        <v>4220.538382819042</v>
      </c>
      <c r="Y317" s="14">
        <f>IF('Model inputs'!Y85="","",'Model inputs'!Y85)</f>
        <v>4510.423638599516</v>
      </c>
      <c r="Z317" s="14">
        <f>IF('Model inputs'!Z85="","",'Model inputs'!Z85)</f>
        <v>4812.4374070698295</v>
      </c>
      <c r="AA317" s="14">
        <f>IF('Model inputs'!AA85="","",'Model inputs'!AA85)</f>
        <v>5127.257086367447</v>
      </c>
      <c r="AD317" s="14">
        <f>'Model inputs'!AD173*'Model inputs'!AC53</f>
        <v>0</v>
      </c>
      <c r="AE317" s="14">
        <f>'Model inputs'!AE173*'Model inputs'!AC53</f>
        <v>0</v>
      </c>
      <c r="AF317" s="14">
        <f>'Model inputs'!AF173*'Model inputs'!AC53</f>
        <v>0</v>
      </c>
      <c r="AG317" s="14">
        <f>'Model inputs'!AG173*'Model inputs'!AC53</f>
        <v>0</v>
      </c>
      <c r="AH317" s="14">
        <f>'Model inputs'!AH173*'Model inputs'!AC53</f>
        <v>0</v>
      </c>
      <c r="AI317" s="14">
        <f>'Model inputs'!AI173*'Model inputs'!AC53</f>
        <v>0</v>
      </c>
      <c r="AJ317" s="14">
        <f>'Model inputs'!AJ173*'Model inputs'!AC53</f>
        <v>0</v>
      </c>
      <c r="AK317" s="14">
        <f>'Model inputs'!AK173*'Model inputs'!AC53</f>
        <v>0</v>
      </c>
    </row>
    <row r="318" outlineLevel="1">
      <c r="A318" t="inlineStr" s="24">
        <is>
          <t xml:space="preserve">Subscription revenue &gt; Developer</t>
        </is>
      </c>
      <c r="B318" s="14">
        <f>IF('Model inputs'!B86="","",'Model inputs'!B86)</f>
        <v>0</v>
      </c>
      <c r="C318" s="14">
        <f>IF('Model inputs'!C86="","",'Model inputs'!C86)</f>
        <v>0</v>
      </c>
      <c r="D318" s="14">
        <f>IF('Model inputs'!D86="","",'Model inputs'!D86)</f>
        <v>58</v>
      </c>
      <c r="E318" s="14">
        <f>IF('Model inputs'!E86="","",'Model inputs'!E86)</f>
        <v>117.16</v>
      </c>
      <c r="F318" s="14">
        <f>IF('Model inputs'!F86="","",'Model inputs'!F86)</f>
        <v>177.5902</v>
      </c>
      <c r="G318" s="14">
        <f>IF('Model inputs'!G86="","",'Model inputs'!G86)</f>
        <v>239.404744</v>
      </c>
      <c r="H318" s="14">
        <f>IF('Model inputs'!H86="","",'Model inputs'!H86)</f>
        <v>302.72196418000004</v>
      </c>
      <c r="I318" s="14">
        <f>IF('Model inputs'!I86="","",'Model inputs'!I86)</f>
        <v>367.66463587960004</v>
      </c>
      <c r="J318" s="14">
        <f>IF('Model inputs'!J86="","",'Model inputs'!J86)</f>
        <v>434.36024395946214</v>
      </c>
      <c r="K318" s="14">
        <f>IF('Model inputs'!K86="","",'Model inputs'!K86)</f>
        <v>502.9412611547408</v>
      </c>
      <c r="L318" s="14">
        <f>IF('Model inputs'!L86="","",'Model inputs'!L86)</f>
        <v>573.5454390598643</v>
      </c>
      <c r="M318" s="14">
        <f>IF('Model inputs'!M86="","",'Model inputs'!M86)</f>
        <v>646.3161124148223</v>
      </c>
      <c r="N318" s="14">
        <f>IF('Model inputs'!N86="","",'Model inputs'!N86)</f>
        <v>721.4025173954693</v>
      </c>
      <c r="O318" s="14">
        <f>IF('Model inputs'!O86="","",'Model inputs'!O86)</f>
        <v>798.9601246443515</v>
      </c>
      <c r="P318" s="14">
        <f>IF('Model inputs'!P86="","",'Model inputs'!P86)</f>
        <v>879.1509878143046</v>
      </c>
      <c r="Q318" s="14">
        <f>IF('Model inputs'!Q86="","",'Model inputs'!Q86)</f>
        <v>962.144108434623</v>
      </c>
      <c r="R318" s="14">
        <f>IF('Model inputs'!R86="","",'Model inputs'!R86)</f>
        <v>1048.1158179490697</v>
      </c>
      <c r="S318" s="14">
        <f>IF('Model inputs'!S86="","",'Model inputs'!S86)</f>
        <v>1137.250177816457</v>
      </c>
      <c r="T318" s="14">
        <f>IF('Model inputs'!T86="","",'Model inputs'!T86)</f>
        <v>1229.7393986081158</v>
      </c>
      <c r="U318" s="14">
        <f>IF('Model inputs'!U86="","",'Model inputs'!U86)</f>
        <v>1325.7842790823322</v>
      </c>
      <c r="V318" s="14">
        <f>IF('Model inputs'!V86="","",'Model inputs'!V86)</f>
        <v>1425.5946662639453</v>
      </c>
      <c r="W318" s="14">
        <f>IF('Model inputs'!W86="","",'Model inputs'!W86)</f>
        <v>1529.389937607814</v>
      </c>
      <c r="X318" s="14">
        <f>IF('Model inputs'!X86="","",'Model inputs'!X86)</f>
        <v>1637.3995063779562</v>
      </c>
      <c r="Y318" s="14">
        <f>IF('Model inputs'!Y86="","",'Model inputs'!Y86)</f>
        <v>1749.8633514299129</v>
      </c>
      <c r="Z318" s="14">
        <f>IF('Model inputs'!Z86="","",'Model inputs'!Z86)</f>
        <v>1867.0325726424755</v>
      </c>
      <c r="AA318" s="14">
        <f>IF('Model inputs'!AA86="","",'Model inputs'!AA86)</f>
        <v>1989.1699733064343</v>
      </c>
      <c r="AD318" s="14">
        <f>'Model inputs'!AD174*'Model inputs'!AC54</f>
        <v>0</v>
      </c>
      <c r="AE318" s="14">
        <f>'Model inputs'!AE174*'Model inputs'!AC54</f>
        <v>0</v>
      </c>
      <c r="AF318" s="14">
        <f>'Model inputs'!AF174*'Model inputs'!AC54</f>
        <v>0</v>
      </c>
      <c r="AG318" s="14">
        <f>'Model inputs'!AG174*'Model inputs'!AC54</f>
        <v>0</v>
      </c>
      <c r="AH318" s="14">
        <f>'Model inputs'!AH174*'Model inputs'!AC54</f>
        <v>0</v>
      </c>
      <c r="AI318" s="14">
        <f>'Model inputs'!AI174*'Model inputs'!AC54</f>
        <v>0</v>
      </c>
      <c r="AJ318" s="14">
        <f>'Model inputs'!AJ174*'Model inputs'!AC54</f>
        <v>0</v>
      </c>
      <c r="AK318" s="14">
        <f>'Model inputs'!AK174*'Model inputs'!AC54</f>
        <v>0</v>
      </c>
    </row>
    <row r="319" outlineLevel="1">
      <c r="A319" t="inlineStr" s="24">
        <is>
          <t xml:space="preserve">Subscription revenue &gt; Team</t>
        </is>
      </c>
      <c r="B319" s="14">
        <f>IF('Model inputs'!B87="","",'Model inputs'!B87)</f>
        <v>0</v>
      </c>
      <c r="C319" s="14">
        <f>IF('Model inputs'!C87="","",'Model inputs'!C87)</f>
        <v>0</v>
      </c>
      <c r="D319" s="14">
        <f>IF('Model inputs'!D87="","",'Model inputs'!D87)</f>
        <v>198</v>
      </c>
      <c r="E319" s="14">
        <f>IF('Model inputs'!E87="","",'Model inputs'!E87)</f>
        <v>399.96</v>
      </c>
      <c r="F319" s="14">
        <f>IF('Model inputs'!F87="","",'Model inputs'!F87)</f>
        <v>606.2562</v>
      </c>
      <c r="G319" s="14">
        <f>IF('Model inputs'!G87="","",'Model inputs'!G87)</f>
        <v>817.278264</v>
      </c>
      <c r="H319" s="14">
        <f>IF('Model inputs'!H87="","",'Model inputs'!H87)</f>
        <v>1033.4301535800003</v>
      </c>
      <c r="I319" s="14">
        <f>IF('Model inputs'!I87="","",'Model inputs'!I87)</f>
        <v>1255.1309983476</v>
      </c>
      <c r="J319" s="14">
        <f>IF('Model inputs'!J87="","",'Model inputs'!J87)</f>
        <v>1482.8160052409223</v>
      </c>
      <c r="K319" s="14">
        <f>IF('Model inputs'!K87="","",'Model inputs'!K87)</f>
        <v>1716.9374087696324</v>
      </c>
      <c r="L319" s="14">
        <f>IF('Model inputs'!L87="","",'Model inputs'!L87)</f>
        <v>1957.965464376778</v>
      </c>
      <c r="M319" s="14">
        <f>IF('Model inputs'!M87="","",'Model inputs'!M87)</f>
        <v>2206.389487209221</v>
      </c>
      <c r="N319" s="14">
        <f>IF('Model inputs'!N87="","",'Model inputs'!N87)</f>
        <v>2462.718938694878</v>
      </c>
      <c r="O319" s="14">
        <f>IF('Model inputs'!O87="","",'Model inputs'!O87)</f>
        <v>2727.484563441062</v>
      </c>
      <c r="P319" s="14">
        <f>IF('Model inputs'!P87="","",'Model inputs'!P87)</f>
        <v>3001.239579090212</v>
      </c>
      <c r="Q319" s="14">
        <f>IF('Model inputs'!Q87="","",'Model inputs'!Q87)</f>
        <v>3284.5609218975064</v>
      </c>
      <c r="R319" s="14">
        <f>IF('Model inputs'!R87="","",'Model inputs'!R87)</f>
        <v>3578.0505509295826</v>
      </c>
      <c r="S319" s="14">
        <f>IF('Model inputs'!S87="","",'Model inputs'!S87)</f>
        <v>3882.336813925146</v>
      </c>
      <c r="T319" s="14">
        <f>IF('Model inputs'!T87="","",'Model inputs'!T87)</f>
        <v>4198.0758780070155</v>
      </c>
      <c r="U319" s="14">
        <f>IF('Model inputs'!U87="","",'Model inputs'!U87)</f>
        <v>4525.95322859141</v>
      </c>
      <c r="V319" s="14">
        <f>IF('Model inputs'!V87="","",'Model inputs'!V87)</f>
        <v>4866.685240004503</v>
      </c>
      <c r="W319" s="14">
        <f>IF('Model inputs'!W87="","",'Model inputs'!W87)</f>
        <v>5221.020821488744</v>
      </c>
      <c r="X319" s="14">
        <f>IF('Model inputs'!X87="","",'Model inputs'!X87)</f>
        <v>5589.743142462678</v>
      </c>
      <c r="Y319" s="14">
        <f>IF('Model inputs'!Y87="","",'Model inputs'!Y87)</f>
        <v>5973.671441088323</v>
      </c>
      <c r="Z319" s="14">
        <f>IF('Model inputs'!Z87="","",'Model inputs'!Z87)</f>
        <v>6373.662920400176</v>
      </c>
      <c r="AA319" s="14">
        <f>IF('Model inputs'!AA87="","",'Model inputs'!AA87)</f>
        <v>6790.614736459896</v>
      </c>
      <c r="AD319" s="14">
        <f>'Model inputs'!AD175*'Model inputs'!AC55</f>
        <v>0</v>
      </c>
      <c r="AE319" s="14">
        <f>'Model inputs'!AE175*'Model inputs'!AC55</f>
        <v>0</v>
      </c>
      <c r="AF319" s="14">
        <f>'Model inputs'!AF175*'Model inputs'!AC55</f>
        <v>0</v>
      </c>
      <c r="AG319" s="14">
        <f>'Model inputs'!AG175*'Model inputs'!AC55</f>
        <v>0</v>
      </c>
      <c r="AH319" s="14">
        <f>'Model inputs'!AH175*'Model inputs'!AC55</f>
        <v>0</v>
      </c>
      <c r="AI319" s="14">
        <f>'Model inputs'!AI175*'Model inputs'!AC55</f>
        <v>0</v>
      </c>
      <c r="AJ319" s="14">
        <f>'Model inputs'!AJ175*'Model inputs'!AC55</f>
        <v>0</v>
      </c>
      <c r="AK319" s="14">
        <f>'Model inputs'!AK175*'Model inputs'!AC55</f>
        <v>0</v>
      </c>
    </row>
    <row r="320">
      <c r="A320" t="inlineStr" s="23">
        <is>
          <t xml:space="preserve">Subscription revenue</t>
        </is>
      </c>
      <c r="B320" s="11">
        <f>IF('Model inputs'!B88="","",'Model inputs'!B88)</f>
        <v>0</v>
      </c>
      <c r="C320" s="11">
        <f>IF('Model inputs'!C88="","",'Model inputs'!C88)</f>
        <v>0</v>
      </c>
      <c r="D320" s="11">
        <f>IF('Model inputs'!D88="","",'Model inputs'!D88)</f>
        <v>202.75</v>
      </c>
      <c r="E320" s="11">
        <f>IF('Model inputs'!E88="","",'Model inputs'!E88)</f>
        <v>395.36249999999995</v>
      </c>
      <c r="F320" s="11">
        <f>IF('Model inputs'!F88="","",'Model inputs'!F88)</f>
        <v>578.344375</v>
      </c>
      <c r="G320" s="11">
        <f>IF('Model inputs'!G88="","",'Model inputs'!G88)</f>
        <v>752.17715625</v>
      </c>
      <c r="H320" s="11">
        <f>IF('Model inputs'!H88="","",'Model inputs'!H88)</f>
        <v>917.3182984375001</v>
      </c>
      <c r="I320" s="11">
        <f>IF('Model inputs'!I88="","",'Model inputs'!I88)</f>
        <v>1074.2023835156251</v>
      </c>
      <c r="J320" s="11">
        <f>IF('Model inputs'!J88="","",'Model inputs'!J88)</f>
        <v>1223.2422643398438</v>
      </c>
      <c r="K320" s="11">
        <f>IF('Model inputs'!K88="","",'Model inputs'!K88)</f>
        <v>1364.8301511228515</v>
      </c>
      <c r="L320" s="11">
        <f>IF('Model inputs'!L88="","",'Model inputs'!L88)</f>
        <v>1499.338643566709</v>
      </c>
      <c r="M320" s="11">
        <f>IF('Model inputs'!M88="","",'Model inputs'!M88)</f>
        <v>1627.1217113883736</v>
      </c>
      <c r="N320" s="11">
        <f>IF('Model inputs'!N88="","",'Model inputs'!N88)</f>
        <v>1748.515625818955</v>
      </c>
      <c r="O320" s="11">
        <f>IF('Model inputs'!O88="","",'Model inputs'!O88)</f>
        <v>1863.8398445280072</v>
      </c>
      <c r="P320" s="11">
        <f>IF('Model inputs'!P88="","",'Model inputs'!P88)</f>
        <v>1973.397852301607</v>
      </c>
      <c r="Q320" s="11">
        <f>IF('Model inputs'!Q88="","",'Model inputs'!Q88)</f>
        <v>2077.4779596865264</v>
      </c>
      <c r="R320" s="11">
        <f>IF('Model inputs'!R88="","",'Model inputs'!R88)</f>
        <v>2176.3540617022004</v>
      </c>
      <c r="S320" s="11">
        <f>IF('Model inputs'!S88="","",'Model inputs'!S88)</f>
        <v>2270.28635861709</v>
      </c>
      <c r="T320" s="11">
        <f>IF('Model inputs'!T88="","",'Model inputs'!T88)</f>
        <v>2359.522040686236</v>
      </c>
      <c r="U320" s="11">
        <f>IF('Model inputs'!U88="","",'Model inputs'!U88)</f>
        <v>2444.295938651924</v>
      </c>
      <c r="V320" s="11">
        <f>IF('Model inputs'!V88="","",'Model inputs'!V88)</f>
        <v>2524.8311417193277</v>
      </c>
      <c r="W320" s="11">
        <f>IF('Model inputs'!W88="","",'Model inputs'!W88)</f>
        <v>2601.3395846333615</v>
      </c>
      <c r="X320" s="11">
        <f>IF('Model inputs'!X88="","",'Model inputs'!X88)</f>
        <v>2674.022605401693</v>
      </c>
      <c r="Y320" s="11">
        <f>IF('Model inputs'!Y88="","",'Model inputs'!Y88)</f>
        <v>2743.071475131609</v>
      </c>
      <c r="Z320" s="11">
        <f>IF('Model inputs'!Z88="","",'Model inputs'!Z88)</f>
        <v>2808.6679013750286</v>
      </c>
      <c r="AA320" s="11">
        <f>IF('Model inputs'!AA88="","",'Model inputs'!AA88)</f>
        <v>2870.9845063062767</v>
      </c>
      <c r="AD320" s="11">
        <f>SUM('Model inputs'!AD321,'Model inputs'!AD322,'Model inputs'!AD323)</f>
        <v>0</v>
      </c>
      <c r="AE320" s="11">
        <f>SUM('Model inputs'!AE321,'Model inputs'!AE322,'Model inputs'!AE323)</f>
        <v>0</v>
      </c>
      <c r="AF320" s="11">
        <f>SUM('Model inputs'!AF321,'Model inputs'!AF322,'Model inputs'!AF323)</f>
        <v>0</v>
      </c>
      <c r="AG320" s="11">
        <f>SUM('Model inputs'!AG321,'Model inputs'!AG322,'Model inputs'!AG323)</f>
        <v>0</v>
      </c>
      <c r="AH320" s="11">
        <f>SUM('Model inputs'!AH321,'Model inputs'!AH322,'Model inputs'!AH323)</f>
        <v>0</v>
      </c>
      <c r="AI320" s="11">
        <f>SUM('Model inputs'!AI321,'Model inputs'!AI322,'Model inputs'!AI323)</f>
        <v>0</v>
      </c>
      <c r="AJ320" s="11">
        <f>SUM('Model inputs'!AJ321,'Model inputs'!AJ322,'Model inputs'!AJ323)</f>
        <v>0</v>
      </c>
      <c r="AK320" s="11">
        <f>SUM('Model inputs'!AK321,'Model inputs'!AK322,'Model inputs'!AK323)</f>
        <v>0</v>
      </c>
    </row>
    <row r="321" outlineLevel="1">
      <c r="A321" t="inlineStr" s="24">
        <is>
          <t xml:space="preserve">Subscription revenue &gt; Agency</t>
        </is>
      </c>
      <c r="B321" s="14">
        <f>IF('Model inputs'!B89="","",'Model inputs'!B89)</f>
        <v>0</v>
      </c>
      <c r="C321" s="14">
        <f>IF('Model inputs'!C89="","",'Model inputs'!C89)</f>
        <v>0</v>
      </c>
      <c r="D321" s="14">
        <f>IF('Model inputs'!D89="","",'Model inputs'!D89)</f>
        <v>74.75</v>
      </c>
      <c r="E321" s="14">
        <f>IF('Model inputs'!E89="","",'Model inputs'!E89)</f>
        <v>145.7625</v>
      </c>
      <c r="F321" s="14">
        <f>IF('Model inputs'!F89="","",'Model inputs'!F89)</f>
        <v>213.224375</v>
      </c>
      <c r="G321" s="14">
        <f>IF('Model inputs'!G89="","",'Model inputs'!G89)</f>
        <v>277.31315625</v>
      </c>
      <c r="H321" s="14">
        <f>IF('Model inputs'!H89="","",'Model inputs'!H89)</f>
        <v>338.19749843750003</v>
      </c>
      <c r="I321" s="14">
        <f>IF('Model inputs'!I89="","",'Model inputs'!I89)</f>
        <v>396.037623515625</v>
      </c>
      <c r="J321" s="14">
        <f>IF('Model inputs'!J89="","",'Model inputs'!J89)</f>
        <v>450.98574233984374</v>
      </c>
      <c r="K321" s="14">
        <f>IF('Model inputs'!K89="","",'Model inputs'!K89)</f>
        <v>503.1864552228516</v>
      </c>
      <c r="L321" s="14">
        <f>IF('Model inputs'!L89="","",'Model inputs'!L89)</f>
        <v>552.777132461709</v>
      </c>
      <c r="M321" s="14">
        <f>IF('Model inputs'!M89="","",'Model inputs'!M89)</f>
        <v>599.8882758386236</v>
      </c>
      <c r="N321" s="14">
        <f>IF('Model inputs'!N89="","",'Model inputs'!N89)</f>
        <v>644.6438620466923</v>
      </c>
      <c r="O321" s="14">
        <f>IF('Model inputs'!O89="","",'Model inputs'!O89)</f>
        <v>687.1616689443578</v>
      </c>
      <c r="P321" s="14">
        <f>IF('Model inputs'!P89="","",'Model inputs'!P89)</f>
        <v>727.5535854971399</v>
      </c>
      <c r="Q321" s="14">
        <f>IF('Model inputs'!Q89="","",'Model inputs'!Q89)</f>
        <v>765.925906222283</v>
      </c>
      <c r="R321" s="14">
        <f>IF('Model inputs'!R89="","",'Model inputs'!R89)</f>
        <v>802.3796109111688</v>
      </c>
      <c r="S321" s="14">
        <f>IF('Model inputs'!S89="","",'Model inputs'!S89)</f>
        <v>837.0106303656104</v>
      </c>
      <c r="T321" s="14">
        <f>IF('Model inputs'!T89="","",'Model inputs'!T89)</f>
        <v>869.9100988473299</v>
      </c>
      <c r="U321" s="14">
        <f>IF('Model inputs'!U89="","",'Model inputs'!U89)</f>
        <v>901.1645939049633</v>
      </c>
      <c r="V321" s="14">
        <f>IF('Model inputs'!V89="","",'Model inputs'!V89)</f>
        <v>930.8563642097151</v>
      </c>
      <c r="W321" s="14">
        <f>IF('Model inputs'!W89="","",'Model inputs'!W89)</f>
        <v>959.0635459992294</v>
      </c>
      <c r="X321" s="14">
        <f>IF('Model inputs'!X89="","",'Model inputs'!X89)</f>
        <v>985.860368699268</v>
      </c>
      <c r="Y321" s="14">
        <f>IF('Model inputs'!Y89="","",'Model inputs'!Y89)</f>
        <v>1011.3173502643047</v>
      </c>
      <c r="Z321" s="14">
        <f>IF('Model inputs'!Z89="","",'Model inputs'!Z89)</f>
        <v>1035.5014827510895</v>
      </c>
      <c r="AA321" s="14">
        <f>IF('Model inputs'!AA89="","",'Model inputs'!AA89)</f>
        <v>1058.4764086135349</v>
      </c>
      <c r="AD321" s="14">
        <f>'Model inputs'!AD177*'Model inputs'!AB216</f>
        <v>0</v>
      </c>
      <c r="AE321" s="14">
        <f>'Model inputs'!AE177*'Model inputs'!AB216</f>
        <v>0</v>
      </c>
      <c r="AF321" s="14">
        <f>'Model inputs'!AF177*'Model inputs'!AB216</f>
        <v>0</v>
      </c>
      <c r="AG321" s="14">
        <f>'Model inputs'!AG177*'Model inputs'!AB216</f>
        <v>0</v>
      </c>
      <c r="AH321" s="14">
        <f>'Model inputs'!AH177*'Model inputs'!AB216</f>
        <v>0</v>
      </c>
      <c r="AI321" s="14">
        <f>'Model inputs'!AI177*'Model inputs'!AB216</f>
        <v>0</v>
      </c>
      <c r="AJ321" s="14">
        <f>'Model inputs'!AJ177*'Model inputs'!AB216</f>
        <v>0</v>
      </c>
      <c r="AK321" s="14">
        <f>'Model inputs'!AK177*'Model inputs'!AB216</f>
        <v>0</v>
      </c>
    </row>
    <row r="322" outlineLevel="1">
      <c r="A322" t="inlineStr" s="24">
        <is>
          <t xml:space="preserve">Subscription revenue &gt; Developer</t>
        </is>
      </c>
      <c r="B322" s="14">
        <f>IF('Model inputs'!B90="","",'Model inputs'!B90)</f>
        <v>0</v>
      </c>
      <c r="C322" s="14">
        <f>IF('Model inputs'!C90="","",'Model inputs'!C90)</f>
        <v>0</v>
      </c>
      <c r="D322" s="14">
        <f>IF('Model inputs'!D90="","",'Model inputs'!D90)</f>
        <v>29</v>
      </c>
      <c r="E322" s="14">
        <f>IF('Model inputs'!E90="","",'Model inputs'!E90)</f>
        <v>56.55</v>
      </c>
      <c r="F322" s="14">
        <f>IF('Model inputs'!F90="","",'Model inputs'!F90)</f>
        <v>82.7225</v>
      </c>
      <c r="G322" s="14">
        <f>IF('Model inputs'!G90="","",'Model inputs'!G90)</f>
        <v>107.586375</v>
      </c>
      <c r="H322" s="14">
        <f>IF('Model inputs'!H90="","",'Model inputs'!H90)</f>
        <v>131.20705625</v>
      </c>
      <c r="I322" s="14">
        <f>IF('Model inputs'!I90="","",'Model inputs'!I90)</f>
        <v>153.6467034375</v>
      </c>
      <c r="J322" s="14">
        <f>IF('Model inputs'!J90="","",'Model inputs'!J90)</f>
        <v>174.964368265625</v>
      </c>
      <c r="K322" s="14">
        <f>IF('Model inputs'!K90="","",'Model inputs'!K90)</f>
        <v>195.21614985234376</v>
      </c>
      <c r="L322" s="14">
        <f>IF('Model inputs'!L90="","",'Model inputs'!L90)</f>
        <v>214.45534235972656</v>
      </c>
      <c r="M322" s="14">
        <f>IF('Model inputs'!M90="","",'Model inputs'!M90)</f>
        <v>232.73257524174025</v>
      </c>
      <c r="N322" s="14">
        <f>IF('Model inputs'!N90="","",'Model inputs'!N90)</f>
        <v>250.09594647965324</v>
      </c>
      <c r="O322" s="14">
        <f>IF('Model inputs'!O90="","",'Model inputs'!O90)</f>
        <v>266.59114915567056</v>
      </c>
      <c r="P322" s="14">
        <f>IF('Model inputs'!P90="","",'Model inputs'!P90)</f>
        <v>282.26159169788707</v>
      </c>
      <c r="Q322" s="14">
        <f>IF('Model inputs'!Q90="","",'Model inputs'!Q90)</f>
        <v>297.1485121129927</v>
      </c>
      <c r="R322" s="14">
        <f>IF('Model inputs'!R90="","",'Model inputs'!R90)</f>
        <v>311.2910865073431</v>
      </c>
      <c r="S322" s="14">
        <f>IF('Model inputs'!S90="","",'Model inputs'!S90)</f>
        <v>324.7265321819759</v>
      </c>
      <c r="T322" s="14">
        <f>IF('Model inputs'!T90="","",'Model inputs'!T90)</f>
        <v>337.49020557287713</v>
      </c>
      <c r="U322" s="14">
        <f>IF('Model inputs'!U90="","",'Model inputs'!U90)</f>
        <v>349.61569529423326</v>
      </c>
      <c r="V322" s="14">
        <f>IF('Model inputs'!V90="","",'Model inputs'!V90)</f>
        <v>361.13491052952156</v>
      </c>
      <c r="W322" s="14">
        <f>IF('Model inputs'!W90="","",'Model inputs'!W90)</f>
        <v>372.0781650030455</v>
      </c>
      <c r="X322" s="14">
        <f>IF('Model inputs'!X90="","",'Model inputs'!X90)</f>
        <v>382.47425675289327</v>
      </c>
      <c r="Y322" s="14">
        <f>IF('Model inputs'!Y90="","",'Model inputs'!Y90)</f>
        <v>392.35054391524864</v>
      </c>
      <c r="Z322" s="14">
        <f>IF('Model inputs'!Z90="","",'Model inputs'!Z90)</f>
        <v>401.7330167194862</v>
      </c>
      <c r="AA322" s="14">
        <f>IF('Model inputs'!AA90="","",'Model inputs'!AA90)</f>
        <v>410.64636588351186</v>
      </c>
      <c r="AD322" s="14">
        <f>'Model inputs'!AD178*'Model inputs'!AB217</f>
        <v>0</v>
      </c>
      <c r="AE322" s="14">
        <f>'Model inputs'!AE178*'Model inputs'!AB217</f>
        <v>0</v>
      </c>
      <c r="AF322" s="14">
        <f>'Model inputs'!AF178*'Model inputs'!AB217</f>
        <v>0</v>
      </c>
      <c r="AG322" s="14">
        <f>'Model inputs'!AG178*'Model inputs'!AB217</f>
        <v>0</v>
      </c>
      <c r="AH322" s="14">
        <f>'Model inputs'!AH178*'Model inputs'!AB217</f>
        <v>0</v>
      </c>
      <c r="AI322" s="14">
        <f>'Model inputs'!AI178*'Model inputs'!AB217</f>
        <v>0</v>
      </c>
      <c r="AJ322" s="14">
        <f>'Model inputs'!AJ178*'Model inputs'!AB217</f>
        <v>0</v>
      </c>
      <c r="AK322" s="14">
        <f>'Model inputs'!AK178*'Model inputs'!AB217</f>
        <v>0</v>
      </c>
    </row>
    <row r="323" outlineLevel="1">
      <c r="A323" t="inlineStr" s="24">
        <is>
          <t xml:space="preserve">Subscription revenue &gt; Team</t>
        </is>
      </c>
      <c r="B323" s="14">
        <f>IF('Model inputs'!B91="","",'Model inputs'!B91)</f>
        <v>0</v>
      </c>
      <c r="C323" s="14">
        <f>IF('Model inputs'!C91="","",'Model inputs'!C91)</f>
        <v>0</v>
      </c>
      <c r="D323" s="14">
        <f>IF('Model inputs'!D91="","",'Model inputs'!D91)</f>
        <v>99</v>
      </c>
      <c r="E323" s="14">
        <f>IF('Model inputs'!E91="","",'Model inputs'!E91)</f>
        <v>193.04999999999998</v>
      </c>
      <c r="F323" s="14">
        <f>IF('Model inputs'!F91="","",'Model inputs'!F91)</f>
        <v>282.3975</v>
      </c>
      <c r="G323" s="14">
        <f>IF('Model inputs'!G91="","",'Model inputs'!G91)</f>
        <v>367.277625</v>
      </c>
      <c r="H323" s="14">
        <f>IF('Model inputs'!H91="","",'Model inputs'!H91)</f>
        <v>447.91374375000004</v>
      </c>
      <c r="I323" s="14">
        <f>IF('Model inputs'!I91="","",'Model inputs'!I91)</f>
        <v>524.5180565625</v>
      </c>
      <c r="J323" s="14">
        <f>IF('Model inputs'!J91="","",'Model inputs'!J91)</f>
        <v>597.292153734375</v>
      </c>
      <c r="K323" s="14">
        <f>IF('Model inputs'!K91="","",'Model inputs'!K91)</f>
        <v>666.4275460476563</v>
      </c>
      <c r="L323" s="14">
        <f>IF('Model inputs'!L91="","",'Model inputs'!L91)</f>
        <v>732.1061687452734</v>
      </c>
      <c r="M323" s="14">
        <f>IF('Model inputs'!M91="","",'Model inputs'!M91)</f>
        <v>794.5008603080098</v>
      </c>
      <c r="N323" s="14">
        <f>IF('Model inputs'!N91="","",'Model inputs'!N91)</f>
        <v>853.7758172926093</v>
      </c>
      <c r="O323" s="14">
        <f>IF('Model inputs'!O91="","",'Model inputs'!O91)</f>
        <v>910.0870264279788</v>
      </c>
      <c r="P323" s="14">
        <f>IF('Model inputs'!P91="","",'Model inputs'!P91)</f>
        <v>963.5826751065799</v>
      </c>
      <c r="Q323" s="14">
        <f>IF('Model inputs'!Q91="","",'Model inputs'!Q91)</f>
        <v>1014.403541351251</v>
      </c>
      <c r="R323" s="14">
        <f>IF('Model inputs'!R91="","",'Model inputs'!R91)</f>
        <v>1062.6833642836884</v>
      </c>
      <c r="S323" s="14">
        <f>IF('Model inputs'!S91="","",'Model inputs'!S91)</f>
        <v>1108.549196069504</v>
      </c>
      <c r="T323" s="14">
        <f>IF('Model inputs'!T91="","",'Model inputs'!T91)</f>
        <v>1152.1217362660288</v>
      </c>
      <c r="U323" s="14">
        <f>IF('Model inputs'!U91="","",'Model inputs'!U91)</f>
        <v>1193.5156494527273</v>
      </c>
      <c r="V323" s="14">
        <f>IF('Model inputs'!V91="","",'Model inputs'!V91)</f>
        <v>1232.8398669800908</v>
      </c>
      <c r="W323" s="14">
        <f>IF('Model inputs'!W91="","",'Model inputs'!W91)</f>
        <v>1270.1978736310864</v>
      </c>
      <c r="X323" s="14">
        <f>IF('Model inputs'!X91="","",'Model inputs'!X91)</f>
        <v>1305.687979949532</v>
      </c>
      <c r="Y323" s="14">
        <f>IF('Model inputs'!Y91="","",'Model inputs'!Y91)</f>
        <v>1339.4035809520556</v>
      </c>
      <c r="Z323" s="14">
        <f>IF('Model inputs'!Z91="","",'Model inputs'!Z91)</f>
        <v>1371.433401904453</v>
      </c>
      <c r="AA323" s="14">
        <f>IF('Model inputs'!AA91="","",'Model inputs'!AA91)</f>
        <v>1401.8617318092302</v>
      </c>
      <c r="AD323" s="14">
        <f>'Model inputs'!AD179*'Model inputs'!AB218</f>
        <v>0</v>
      </c>
      <c r="AE323" s="14">
        <f>'Model inputs'!AE179*'Model inputs'!AB218</f>
        <v>0</v>
      </c>
      <c r="AF323" s="14">
        <f>'Model inputs'!AF179*'Model inputs'!AB218</f>
        <v>0</v>
      </c>
      <c r="AG323" s="14">
        <f>'Model inputs'!AG179*'Model inputs'!AB218</f>
        <v>0</v>
      </c>
      <c r="AH323" s="14">
        <f>'Model inputs'!AH179*'Model inputs'!AB218</f>
        <v>0</v>
      </c>
      <c r="AI323" s="14">
        <f>'Model inputs'!AI179*'Model inputs'!AB218</f>
        <v>0</v>
      </c>
      <c r="AJ323" s="14">
        <f>'Model inputs'!AJ179*'Model inputs'!AB218</f>
        <v>0</v>
      </c>
      <c r="AK323" s="14">
        <f>'Model inputs'!AK179*'Model inputs'!AB218</f>
        <v>0</v>
      </c>
    </row>
    <row r="324">
      <c r="A324" t="inlineStr" s="23">
        <is>
          <t xml:space="preserve">Subscription revenue</t>
        </is>
      </c>
      <c r="B324" s="11">
        <f>IF('Model inputs'!B92="","",'Model inputs'!B92)</f>
        <v>0</v>
      </c>
      <c r="C324" s="11">
        <f>IF('Model inputs'!C92="","",'Model inputs'!C92)</f>
        <v>0</v>
      </c>
      <c r="D324" s="11">
        <f>IF('Model inputs'!D92="","",'Model inputs'!D92)</f>
        <v>712</v>
      </c>
      <c r="E324" s="11">
        <f>IF('Model inputs'!E92="","",'Model inputs'!E92)</f>
        <v>1466.7200000000003</v>
      </c>
      <c r="F324" s="11">
        <f>IF('Model inputs'!F92="","",'Model inputs'!F92)</f>
        <v>2267.8624</v>
      </c>
      <c r="G324" s="11">
        <f>IF('Model inputs'!G92="","",'Model inputs'!G92)</f>
        <v>3119.420096</v>
      </c>
      <c r="H324" s="11">
        <f>IF('Model inputs'!H92="","",'Model inputs'!H92)</f>
        <v>4025.6998336000006</v>
      </c>
      <c r="I324" s="11">
        <f>IF('Model inputs'!I92="","",'Model inputs'!I92)</f>
        <v>4991.347427609601</v>
      </c>
      <c r="J324" s="11">
        <f>IF('Model inputs'!J92="","",'Model inputs'!J92)</f>
        <v>6021.374996993538</v>
      </c>
      <c r="K324" s="11">
        <f>IF('Model inputs'!K92="","",'Model inputs'!K92)</f>
        <v>7121.190376424685</v>
      </c>
      <c r="L324" s="11">
        <f>IF('Model inputs'!L92="","",'Model inputs'!L92)</f>
        <v>8296.628878616892</v>
      </c>
      <c r="M324" s="11">
        <f>IF('Model inputs'!M92="","",'Model inputs'!M92)</f>
        <v>9553.987595542912</v>
      </c>
      <c r="N324" s="11">
        <f>IF('Model inputs'!N92="","",'Model inputs'!N92)</f>
        <v>10900.06244169028</v>
      </c>
      <c r="O324" s="11">
        <f>IF('Model inputs'!O92="","",'Model inputs'!O92)</f>
        <v>12342.188158759356</v>
      </c>
      <c r="P324" s="11">
        <f>IF('Model inputs'!P92="","",'Model inputs'!P92)</f>
        <v>13888.281518759284</v>
      </c>
      <c r="Q324" s="11">
        <f>IF('Model inputs'!Q92="","",'Model inputs'!Q92)</f>
        <v>15546.88798141322</v>
      </c>
      <c r="R324" s="11">
        <f>IF('Model inputs'!R92="","",'Model inputs'!R92)</f>
        <v>17327.23208225641</v>
      </c>
      <c r="S324" s="11">
        <f>IF('Model inputs'!S92="","",'Model inputs'!S92)</f>
        <v>19239.271849920453</v>
      </c>
      <c r="T324" s="11">
        <f>IF('Model inputs'!T92="","",'Model inputs'!T92)</f>
        <v>21293.75757497595</v>
      </c>
      <c r="U324" s="11">
        <f>IF('Model inputs'!U92="","",'Model inputs'!U92)</f>
        <v>23502.295278494646</v>
      </c>
      <c r="V324" s="11">
        <f>IF('Model inputs'!V92="","",'Model inputs'!V92)</f>
        <v>25877.415256344426</v>
      </c>
      <c r="W324" s="11">
        <f>IF('Model inputs'!W92="","",'Model inputs'!W92)</f>
        <v>28432.64610531078</v>
      </c>
      <c r="X324" s="11">
        <f>IF('Model inputs'!X92="","",'Model inputs'!X92)</f>
        <v>31182.594669625276</v>
      </c>
      <c r="Y324" s="11">
        <f>IF('Model inputs'!Y92="","",'Model inputs'!Y92)</f>
        <v>34143.03238156713</v>
      </c>
      <c r="Z324" s="11">
        <f>IF('Model inputs'!Z92="","",'Model inputs'!Z92)</f>
        <v>37330.98850769691</v>
      </c>
      <c r="AA324" s="11">
        <f>IF('Model inputs'!AA92="","",'Model inputs'!AA92)</f>
        <v>40764.850853204975</v>
      </c>
      <c r="AD324" s="11">
        <f>SUM('Model inputs'!AD325,'Model inputs'!AD326,'Model inputs'!AD327)</f>
        <v>0</v>
      </c>
      <c r="AE324" s="11">
        <f>SUM('Model inputs'!AE325,'Model inputs'!AE326,'Model inputs'!AE327)</f>
        <v>0</v>
      </c>
      <c r="AF324" s="11">
        <f>SUM('Model inputs'!AF325,'Model inputs'!AF326,'Model inputs'!AF327)</f>
        <v>0</v>
      </c>
      <c r="AG324" s="11">
        <f>SUM('Model inputs'!AG325,'Model inputs'!AG326,'Model inputs'!AG327)</f>
        <v>0</v>
      </c>
      <c r="AH324" s="11">
        <f>SUM('Model inputs'!AH325,'Model inputs'!AH326,'Model inputs'!AH327)</f>
        <v>0</v>
      </c>
      <c r="AI324" s="11">
        <f>SUM('Model inputs'!AI325,'Model inputs'!AI326,'Model inputs'!AI327)</f>
        <v>0</v>
      </c>
      <c r="AJ324" s="11">
        <f>SUM('Model inputs'!AJ325,'Model inputs'!AJ326,'Model inputs'!AJ327)</f>
        <v>0</v>
      </c>
      <c r="AK324" s="11">
        <f>SUM('Model inputs'!AK325,'Model inputs'!AK326,'Model inputs'!AK327)</f>
        <v>0</v>
      </c>
    </row>
    <row r="325" outlineLevel="1">
      <c r="A325" t="inlineStr" s="24">
        <is>
          <t xml:space="preserve">Subscription revenue &gt; Agency</t>
        </is>
      </c>
      <c r="B325" s="14">
        <f>IF('Model inputs'!B93="","",'Model inputs'!B93)</f>
        <v>0</v>
      </c>
      <c r="C325" s="14">
        <f>IF('Model inputs'!C93="","",'Model inputs'!C93)</f>
        <v>0</v>
      </c>
      <c r="D325" s="14">
        <f>IF('Model inputs'!D93="","",'Model inputs'!D93)</f>
        <v>299</v>
      </c>
      <c r="E325" s="14">
        <f>IF('Model inputs'!E93="","",'Model inputs'!E93)</f>
        <v>615.94</v>
      </c>
      <c r="F325" s="14">
        <f>IF('Model inputs'!F93="","",'Model inputs'!F93)</f>
        <v>952.3748</v>
      </c>
      <c r="G325" s="14">
        <f>IF('Model inputs'!G93="","",'Model inputs'!G93)</f>
        <v>1309.981192</v>
      </c>
      <c r="H325" s="14">
        <f>IF('Model inputs'!H93="","",'Model inputs'!H93)</f>
        <v>1690.5677672000002</v>
      </c>
      <c r="I325" s="14">
        <f>IF('Model inputs'!I93="","",'Model inputs'!I93)</f>
        <v>2096.0855068192004</v>
      </c>
      <c r="J325" s="14">
        <f>IF('Model inputs'!J93="","",'Model inputs'!J93)</f>
        <v>2528.6392192430726</v>
      </c>
      <c r="K325" s="14">
        <f>IF('Model inputs'!K93="","",'Model inputs'!K93)</f>
        <v>2990.4998912232877</v>
      </c>
      <c r="L325" s="14">
        <f>IF('Model inputs'!L93="","",'Model inputs'!L93)</f>
        <v>3484.118026273105</v>
      </c>
      <c r="M325" s="14">
        <f>IF('Model inputs'!M93="","",'Model inputs'!M93)</f>
        <v>4012.1380492518683</v>
      </c>
      <c r="N325" s="14">
        <f>IF('Model inputs'!N93="","",'Model inputs'!N93)</f>
        <v>4577.413862451394</v>
      </c>
      <c r="O325" s="14">
        <f>IF('Model inputs'!O93="","",'Model inputs'!O93)</f>
        <v>5183.025645321695</v>
      </c>
      <c r="P325" s="14">
        <f>IF('Model inputs'!P93="","",'Model inputs'!P93)</f>
        <v>5832.297997344137</v>
      </c>
      <c r="Q325" s="14">
        <f>IF('Model inputs'!Q93="","",'Model inputs'!Q93)</f>
        <v>6528.819531520439</v>
      </c>
      <c r="R325" s="14">
        <f>IF('Model inputs'!R93="","",'Model inputs'!R93)</f>
        <v>7276.464034543071</v>
      </c>
      <c r="S325" s="14">
        <f>IF('Model inputs'!S93="","",'Model inputs'!S93)</f>
        <v>8079.413318997494</v>
      </c>
      <c r="T325" s="14">
        <f>IF('Model inputs'!T93="","",'Model inputs'!T93)</f>
        <v>8942.18190297445</v>
      </c>
      <c r="U325" s="14">
        <f>IF('Model inputs'!U93="","",'Model inputs'!U93)</f>
        <v>9869.64366330042</v>
      </c>
      <c r="V325" s="14">
        <f>IF('Model inputs'!V93="","",'Model inputs'!V93)</f>
        <v>10867.060620290706</v>
      </c>
      <c r="W325" s="14">
        <f>IF('Model inputs'!W93="","",'Model inputs'!W93)</f>
        <v>11940.11402456169</v>
      </c>
      <c r="X325" s="14">
        <f>IF('Model inputs'!X93="","",'Model inputs'!X93)</f>
        <v>13094.937930081398</v>
      </c>
      <c r="Y325" s="14">
        <f>IF('Model inputs'!Y93="","",'Model inputs'!Y93)</f>
        <v>14338.15545237159</v>
      </c>
      <c r="Z325" s="14">
        <f>IF('Model inputs'!Z93="","",'Model inputs'!Z93)</f>
        <v>15676.917926687322</v>
      </c>
      <c r="AA325" s="14">
        <f>IF('Model inputs'!AA93="","",'Model inputs'!AA93)</f>
        <v>17118.947198185793</v>
      </c>
      <c r="AD325" s="14">
        <f>'Model inputs'!AD181*'Model inputs'!AB220</f>
        <v>0</v>
      </c>
      <c r="AE325" s="14">
        <f>'Model inputs'!AE181*'Model inputs'!AB220</f>
        <v>0</v>
      </c>
      <c r="AF325" s="14">
        <f>'Model inputs'!AF181*'Model inputs'!AB220</f>
        <v>0</v>
      </c>
      <c r="AG325" s="14">
        <f>'Model inputs'!AG181*'Model inputs'!AB220</f>
        <v>0</v>
      </c>
      <c r="AH325" s="14">
        <f>'Model inputs'!AH181*'Model inputs'!AB220</f>
        <v>0</v>
      </c>
      <c r="AI325" s="14">
        <f>'Model inputs'!AI181*'Model inputs'!AB220</f>
        <v>0</v>
      </c>
      <c r="AJ325" s="14">
        <f>'Model inputs'!AJ181*'Model inputs'!AB220</f>
        <v>0</v>
      </c>
      <c r="AK325" s="14">
        <f>'Model inputs'!AK181*'Model inputs'!AB220</f>
        <v>0</v>
      </c>
    </row>
    <row r="326" outlineLevel="1">
      <c r="A326" t="inlineStr" s="24">
        <is>
          <t xml:space="preserve">Subscription revenue &gt; Developer</t>
        </is>
      </c>
      <c r="B326" s="14">
        <f>IF('Model inputs'!B94="","",'Model inputs'!B94)</f>
        <v>0</v>
      </c>
      <c r="C326" s="14">
        <f>IF('Model inputs'!C94="","",'Model inputs'!C94)</f>
        <v>0</v>
      </c>
      <c r="D326" s="14">
        <f>IF('Model inputs'!D94="","",'Model inputs'!D94)</f>
        <v>116</v>
      </c>
      <c r="E326" s="14">
        <f>IF('Model inputs'!E94="","",'Model inputs'!E94)</f>
        <v>238.96</v>
      </c>
      <c r="F326" s="14">
        <f>IF('Model inputs'!F94="","",'Model inputs'!F94)</f>
        <v>369.4832</v>
      </c>
      <c r="G326" s="14">
        <f>IF('Model inputs'!G94="","",'Model inputs'!G94)</f>
        <v>508.220128</v>
      </c>
      <c r="H326" s="14">
        <f>IF('Model inputs'!H94="","",'Model inputs'!H94)</f>
        <v>655.8724448</v>
      </c>
      <c r="I326" s="14">
        <f>IF('Model inputs'!I94="","",'Model inputs'!I94)</f>
        <v>813.1970528128002</v>
      </c>
      <c r="J326" s="14">
        <f>IF('Model inputs'!J94="","",'Model inputs'!J94)</f>
        <v>981.0105332180482</v>
      </c>
      <c r="K326" s="14">
        <f>IF('Model inputs'!K94="","",'Model inputs'!K94)</f>
        <v>1160.1939377321116</v>
      </c>
      <c r="L326" s="14">
        <f>IF('Model inputs'!L94="","",'Model inputs'!L94)</f>
        <v>1351.6979633701678</v>
      </c>
      <c r="M326" s="14">
        <f>IF('Model inputs'!M94="","",'Model inputs'!M94)</f>
        <v>1556.5485408468787</v>
      </c>
      <c r="N326" s="14">
        <f>IF('Model inputs'!N94="","",'Model inputs'!N94)</f>
        <v>1775.8528697135846</v>
      </c>
      <c r="O326" s="14">
        <f>IF('Model inputs'!O94="","",'Model inputs'!O94)</f>
        <v>2010.8059359776476</v>
      </c>
      <c r="P326" s="14">
        <f>IF('Model inputs'!P94="","",'Model inputs'!P94)</f>
        <v>2262.697550809097</v>
      </c>
      <c r="Q326" s="14">
        <f>IF('Model inputs'!Q94="","",'Model inputs'!Q94)</f>
        <v>2532.9199520279967</v>
      </c>
      <c r="R326" s="14">
        <f>IF('Model inputs'!R94="","",'Model inputs'!R94)</f>
        <v>2822.9760134013254</v>
      </c>
      <c r="S326" s="14">
        <f>IF('Model inputs'!S94="","",'Model inputs'!S94)</f>
        <v>3134.488110380298</v>
      </c>
      <c r="T326" s="14">
        <f>IF('Model inputs'!T94="","",'Model inputs'!T94)</f>
        <v>3469.207694799452</v>
      </c>
      <c r="U326" s="14">
        <f>IF('Model inputs'!U94="","",'Model inputs'!U94)</f>
        <v>3829.0256352603633</v>
      </c>
      <c r="V326" s="14">
        <f>IF('Model inputs'!V94="","",'Model inputs'!V94)</f>
        <v>4215.983384460608</v>
      </c>
      <c r="W326" s="14">
        <f>IF('Model inputs'!W94="","",'Model inputs'!W94)</f>
        <v>4632.285039629284</v>
      </c>
      <c r="X326" s="14">
        <f>IF('Model inputs'!X94="","",'Model inputs'!X94)</f>
        <v>5080.310367523219</v>
      </c>
      <c r="Y326" s="14">
        <f>IF('Model inputs'!Y94="","",'Model inputs'!Y94)</f>
        <v>5562.628871154195</v>
      </c>
      <c r="Z326" s="14">
        <f>IF('Model inputs'!Z94="","",'Model inputs'!Z94)</f>
        <v>6082.014981591068</v>
      </c>
      <c r="AA326" s="14">
        <f>IF('Model inputs'!AA94="","",'Model inputs'!AA94)</f>
        <v>6641.464464848</v>
      </c>
      <c r="AD326" s="14">
        <f>'Model inputs'!AD182*'Model inputs'!AB221</f>
        <v>0</v>
      </c>
      <c r="AE326" s="14">
        <f>'Model inputs'!AE182*'Model inputs'!AB221</f>
        <v>0</v>
      </c>
      <c r="AF326" s="14">
        <f>'Model inputs'!AF182*'Model inputs'!AB221</f>
        <v>0</v>
      </c>
      <c r="AG326" s="14">
        <f>'Model inputs'!AG182*'Model inputs'!AB221</f>
        <v>0</v>
      </c>
      <c r="AH326" s="14">
        <f>'Model inputs'!AH182*'Model inputs'!AB221</f>
        <v>0</v>
      </c>
      <c r="AI326" s="14">
        <f>'Model inputs'!AI182*'Model inputs'!AB221</f>
        <v>0</v>
      </c>
      <c r="AJ326" s="14">
        <f>'Model inputs'!AJ182*'Model inputs'!AB221</f>
        <v>0</v>
      </c>
      <c r="AK326" s="14">
        <f>'Model inputs'!AK182*'Model inputs'!AB221</f>
        <v>0</v>
      </c>
    </row>
    <row r="327" outlineLevel="1">
      <c r="A327" t="inlineStr" s="24">
        <is>
          <t xml:space="preserve">Subscription revenue &gt; Team</t>
        </is>
      </c>
      <c r="B327" s="14">
        <f>IF('Model inputs'!B95="","",'Model inputs'!B95)</f>
        <v>0</v>
      </c>
      <c r="C327" s="14">
        <f>IF('Model inputs'!C95="","",'Model inputs'!C95)</f>
        <v>0</v>
      </c>
      <c r="D327" s="14">
        <f>IF('Model inputs'!D95="","",'Model inputs'!D95)</f>
        <v>297</v>
      </c>
      <c r="E327" s="14">
        <f>IF('Model inputs'!E95="","",'Model inputs'!E95)</f>
        <v>611.82</v>
      </c>
      <c r="F327" s="14">
        <f>IF('Model inputs'!F95="","",'Model inputs'!F95)</f>
        <v>946.0044000000001</v>
      </c>
      <c r="G327" s="14">
        <f>IF('Model inputs'!G95="","",'Model inputs'!G95)</f>
        <v>1301.2187760000002</v>
      </c>
      <c r="H327" s="14">
        <f>IF('Model inputs'!H95="","",'Model inputs'!H95)</f>
        <v>1679.2596216000004</v>
      </c>
      <c r="I327" s="14">
        <f>IF('Model inputs'!I95="","",'Model inputs'!I95)</f>
        <v>2082.0648679776004</v>
      </c>
      <c r="J327" s="14">
        <f>IF('Model inputs'!J95="","",'Model inputs'!J95)</f>
        <v>2511.725244532417</v>
      </c>
      <c r="K327" s="14">
        <f>IF('Model inputs'!K95="","",'Model inputs'!K95)</f>
        <v>2970.4965474692863</v>
      </c>
      <c r="L327" s="14">
        <f>IF('Model inputs'!L95="","",'Model inputs'!L95)</f>
        <v>3460.81288897362</v>
      </c>
      <c r="M327" s="14">
        <f>IF('Model inputs'!M95="","",'Model inputs'!M95)</f>
        <v>3985.3010054441647</v>
      </c>
      <c r="N327" s="14">
        <f>IF('Model inputs'!N95="","",'Model inputs'!N95)</f>
        <v>4546.7957095253</v>
      </c>
      <c r="O327" s="14">
        <f>IF('Model inputs'!O95="","",'Model inputs'!O95)</f>
        <v>5148.356577460014</v>
      </c>
      <c r="P327" s="14">
        <f>IF('Model inputs'!P95="","",'Model inputs'!P95)</f>
        <v>5793.28597060605</v>
      </c>
      <c r="Q327" s="14">
        <f>IF('Model inputs'!Q95="","",'Model inputs'!Q95)</f>
        <v>6485.148497864784</v>
      </c>
      <c r="R327" s="14">
        <f>IF('Model inputs'!R95="","",'Model inputs'!R95)</f>
        <v>7227.792034312014</v>
      </c>
      <c r="S327" s="14">
        <f>IF('Model inputs'!S95="","",'Model inputs'!S95)</f>
        <v>8025.370420542661</v>
      </c>
      <c r="T327" s="14">
        <f>IF('Model inputs'!T95="","",'Model inputs'!T95)</f>
        <v>8882.367977202046</v>
      </c>
      <c r="U327" s="14">
        <f>IF('Model inputs'!U95="","",'Model inputs'!U95)</f>
        <v>9803.625979933862</v>
      </c>
      <c r="V327" s="14">
        <f>IF('Model inputs'!V95="","",'Model inputs'!V95)</f>
        <v>10794.371251593111</v>
      </c>
      <c r="W327" s="14">
        <f>IF('Model inputs'!W95="","",'Model inputs'!W95)</f>
        <v>11860.247041119808</v>
      </c>
      <c r="X327" s="14">
        <f>IF('Model inputs'!X95="","",'Model inputs'!X95)</f>
        <v>13007.346372020658</v>
      </c>
      <c r="Y327" s="14">
        <f>IF('Model inputs'!Y95="","",'Model inputs'!Y95)</f>
        <v>14242.248058041348</v>
      </c>
      <c r="Z327" s="14">
        <f>IF('Model inputs'!Z95="","",'Model inputs'!Z95)</f>
        <v>15572.055599418516</v>
      </c>
      <c r="AA327" s="14">
        <f>IF('Model inputs'!AA95="","",'Model inputs'!AA95)</f>
        <v>17004.43919017118</v>
      </c>
      <c r="AD327" s="14">
        <f>'Model inputs'!AD183*'Model inputs'!AB222</f>
        <v>0</v>
      </c>
      <c r="AE327" s="14">
        <f>'Model inputs'!AE183*'Model inputs'!AB222</f>
        <v>0</v>
      </c>
      <c r="AF327" s="14">
        <f>'Model inputs'!AF183*'Model inputs'!AB222</f>
        <v>0</v>
      </c>
      <c r="AG327" s="14">
        <f>'Model inputs'!AG183*'Model inputs'!AB222</f>
        <v>0</v>
      </c>
      <c r="AH327" s="14">
        <f>'Model inputs'!AH183*'Model inputs'!AB222</f>
        <v>0</v>
      </c>
      <c r="AI327" s="14">
        <f>'Model inputs'!AI183*'Model inputs'!AB222</f>
        <v>0</v>
      </c>
      <c r="AJ327" s="14">
        <f>'Model inputs'!AJ183*'Model inputs'!AB222</f>
        <v>0</v>
      </c>
      <c r="AK327" s="14">
        <f>'Model inputs'!AK183*'Model inputs'!AB222</f>
        <v>0</v>
      </c>
    </row>
    <row r="328">
      <c r="A328" t="inlineStr" s="23">
        <is>
          <t xml:space="preserve">Support cost per hour · Workspace support costs · Contribution · CheckoutGuard — Conservative · CheckoutGuard — Conservative · CheckoutGuard — Conservative</t>
        </is>
      </c>
      <c r="AB328" s="9">
        <f>'CheckoutGuard — Assumptions · C'!B16</f>
        <v>30</v>
      </c>
    </row>
    <row r="329">
      <c r="A329" t="inlineStr" s="23">
        <is>
          <t xml:space="preserve">Support cost per hour · Workspace support costs · Contribution · CheckoutGuard — Growth · CheckoutGuard — Growth · CheckoutGuard — Growth</t>
        </is>
      </c>
      <c r="AB329" s="9">
        <f>'CheckoutGuard — Assumptions · C'!B16</f>
        <v>30</v>
      </c>
    </row>
    <row r="330">
      <c r="A330" t="inlineStr" s="23">
        <is>
          <t xml:space="preserve">Support minutes per workspace</t>
        </is>
      </c>
      <c r="AB330" s="6">
        <v>0</v>
      </c>
    </row>
    <row r="331" outlineLevel="1">
      <c r="A331" t="inlineStr" s="24">
        <is>
          <t xml:space="preserve">Support minutes per workspace &gt; Agency</t>
        </is>
      </c>
      <c r="AB331" s="9">
        <f>'CheckoutGuard — Assumptions · W'!E5</f>
        <v>60</v>
      </c>
    </row>
    <row r="332" outlineLevel="1">
      <c r="A332" t="inlineStr" s="24">
        <is>
          <t xml:space="preserve">Support minutes per workspace &gt; Developer</t>
        </is>
      </c>
      <c r="AB332" s="9">
        <f>'CheckoutGuard — Assumptions · W'!E6</f>
        <v>10</v>
      </c>
    </row>
    <row r="333" outlineLevel="1">
      <c r="A333" t="inlineStr" s="24">
        <is>
          <t xml:space="preserve">Support minutes per workspace &gt; Team</t>
        </is>
      </c>
      <c r="AB333" s="9">
        <f>'CheckoutGuard — Assumptions · W'!E7</f>
        <v>25</v>
      </c>
    </row>
    <row r="334">
      <c r="A334" t="inlineStr" s="23">
        <is>
          <t xml:space="preserve">Support minutes per workspace</t>
        </is>
      </c>
      <c r="AB334" s="6">
        <v>0</v>
      </c>
    </row>
    <row r="335" outlineLevel="1">
      <c r="A335" t="inlineStr" s="24">
        <is>
          <t xml:space="preserve">Support minutes per workspace &gt; Agency</t>
        </is>
      </c>
      <c r="AB335" s="9">
        <f>'CheckoutGuard — Assumptions · W'!E5</f>
        <v>60</v>
      </c>
    </row>
    <row r="336" outlineLevel="1">
      <c r="A336" t="inlineStr" s="24">
        <is>
          <t xml:space="preserve">Support minutes per workspace &gt; Developer</t>
        </is>
      </c>
      <c r="AB336" s="9">
        <f>'CheckoutGuard — Assumptions · W'!E6</f>
        <v>10</v>
      </c>
    </row>
    <row r="337" outlineLevel="1">
      <c r="A337" t="inlineStr" s="24">
        <is>
          <t xml:space="preserve">Support minutes per workspace &gt; Team</t>
        </is>
      </c>
      <c r="AB337" s="9">
        <f>'CheckoutGuard — Assumptions · W'!E7</f>
        <v>25</v>
      </c>
    </row>
    <row r="338">
      <c r="A338" t="inlineStr" s="23">
        <is>
          <t xml:space="preserve">Reported input tokens</t>
        </is>
      </c>
      <c r="AB338" s="6">
        <v>0</v>
      </c>
    </row>
    <row r="339" outlineLevel="1">
      <c r="A339" t="inlineStr" s="24">
        <is>
          <t xml:space="preserve">Reported input tokens &gt; Run 1</t>
        </is>
      </c>
      <c r="AB339" s="9">
        <f>'CheckoutGuard — Business plan ·'!B5</f>
        <v>12227</v>
      </c>
    </row>
    <row r="340" outlineLevel="1">
      <c r="A340" t="inlineStr" s="24">
        <is>
          <t xml:space="preserve">Reported input tokens &gt; Run 2</t>
        </is>
      </c>
      <c r="AB340" s="9">
        <f>'CheckoutGuard — Business plan ·'!B6</f>
        <v>12128</v>
      </c>
    </row>
    <row r="341" outlineLevel="1">
      <c r="A341" t="inlineStr" s="24">
        <is>
          <t xml:space="preserve">Reported input tokens &gt; Run 3</t>
        </is>
      </c>
      <c r="AB341" s="9">
        <f>'CheckoutGuard — Business plan ·'!B7</f>
        <v>12335</v>
      </c>
    </row>
    <row r="342">
      <c r="A342" t="inlineStr" s="23">
        <is>
          <t xml:space="preserve">Reported output tokens</t>
        </is>
      </c>
      <c r="AB342" s="6">
        <v>0</v>
      </c>
    </row>
    <row r="343" outlineLevel="1">
      <c r="A343" t="inlineStr" s="24">
        <is>
          <t xml:space="preserve">Reported output tokens &gt; Run 1</t>
        </is>
      </c>
      <c r="AB343" s="9">
        <f>'CheckoutGuard — Business plan ·'!C5</f>
        <v>202</v>
      </c>
    </row>
    <row r="344" outlineLevel="1">
      <c r="A344" t="inlineStr" s="24">
        <is>
          <t xml:space="preserve">Reported output tokens &gt; Run 2</t>
        </is>
      </c>
      <c r="AB344" s="9">
        <f>'CheckoutGuard — Business plan ·'!C6</f>
        <v>179</v>
      </c>
    </row>
    <row r="345" outlineLevel="1">
      <c r="A345" t="inlineStr" s="24">
        <is>
          <t xml:space="preserve">Reported output tokens &gt; Run 3</t>
        </is>
      </c>
      <c r="AB345" s="9">
        <f>'CheckoutGuard — Business plan ·'!C7</f>
        <v>202</v>
      </c>
    </row>
    <row r="346">
      <c r="A346" t="inlineStr" s="23">
        <is>
          <t xml:space="preserve">AI allowance per completed run · Estimated cost per completed run · Run delivery costs · Contribution · CheckoutGuard — Conservative · CheckoutGuard — Conservative · CheckoutGuard — Conservative · CheckoutGuard — Conservative</t>
        </is>
      </c>
      <c r="AB346" s="10">
        <f>'Model inputs'!AB396*'Model inputs'!AB398*(1+'Model inputs'!AB394*'Model inputs'!AB406)</f>
        <v>0.0037856</v>
      </c>
    </row>
    <row r="347">
      <c r="A347" t="inlineStr" s="23">
        <is>
          <t xml:space="preserve">AI allowance per completed run · Estimated cost per completed run · Run delivery costs · Contribution · CheckoutGuard — Growth · CheckoutGuard — Growth · CheckoutGuard — Growth · CheckoutGuard — Growth</t>
        </is>
      </c>
      <c r="AB347" s="10">
        <f>'Model inputs'!AB397*'Model inputs'!AB399*(1+'Model inputs'!AB395*'Model inputs'!AB407)</f>
        <v>0.0037856</v>
      </c>
    </row>
    <row r="348">
      <c r="A348" t="inlineStr" s="23">
        <is>
          <t xml:space="preserve">Browser cost per completed run · Estimated cost per completed run · Run delivery costs · Contribution · CheckoutGuard — Conservative · CheckoutGuard — Conservative · CheckoutGuard — Conservative · CheckoutGuard — Conservative</t>
        </is>
      </c>
      <c r="AB348" s="10">
        <f>'Model inputs'!AB392/3600*'Model inputs'!AB390*(1+'Model inputs'!AB394)</f>
        <v>0.0018</v>
      </c>
    </row>
    <row r="349">
      <c r="A349" t="inlineStr" s="23">
        <is>
          <t xml:space="preserve">Browser cost per completed run · Estimated cost per completed run · Run delivery costs · Contribution · CheckoutGuard — Growth · CheckoutGuard — Growth · CheckoutGuard — Growth · CheckoutGuard — Growth</t>
        </is>
      </c>
      <c r="AB349" s="10">
        <f>'Model inputs'!AB393/3600*'Model inputs'!AB391*(1+'Model inputs'!AB395)</f>
        <v>0.0018</v>
      </c>
    </row>
    <row r="350">
      <c r="A350" t="inlineStr" s="23">
        <is>
          <t xml:space="preserve">Contribution</t>
        </is>
      </c>
      <c r="B350" s="11">
        <f>IF('Model inputs'!B19="","",'Model inputs'!B19)</f>
        <v>0</v>
      </c>
      <c r="C350" s="11">
        <f>IF('Model inputs'!C19="","",'Model inputs'!C19)</f>
        <v>0</v>
      </c>
      <c r="D350" s="11">
        <f>IF('Model inputs'!D19="","",'Model inputs'!D19)</f>
        <v>320.99084</v>
      </c>
      <c r="E350" s="11">
        <f>IF('Model inputs'!E19="","",'Model inputs'!E19)</f>
        <v>648.4014968</v>
      </c>
      <c r="F350" s="11">
        <f>IF('Model inputs'!F19="","",'Model inputs'!F19)</f>
        <v>982.841852996</v>
      </c>
      <c r="G350" s="11">
        <f>IF('Model inputs'!G19="","",'Model inputs'!G19)</f>
        <v>1324.94361856112</v>
      </c>
      <c r="H350" s="11">
        <f>IF('Model inputs'!H19="","",'Model inputs'!H19)</f>
        <v>1675.361682217037</v>
      </c>
      <c r="I350" s="11">
        <f>IF('Model inputs'!I19="","",'Model inputs'!I19)</f>
        <v>2034.7755225739131</v>
      </c>
      <c r="J350" s="11">
        <f>IF('Model inputs'!J19="","",'Model inputs'!J19)</f>
        <v>2403.8906822612526</v>
      </c>
      <c r="K350" s="11">
        <f>IF('Model inputs'!K19="","",'Model inputs'!K19)</f>
        <v>2783.4403084262003</v>
      </c>
      <c r="L350" s="11">
        <f>IF('Model inputs'!L19="","",'Model inputs'!L19)</f>
        <v>3174.1867631378386</v>
      </c>
      <c r="M350" s="11">
        <f>IF('Model inputs'!M19="","",'Model inputs'!M19)</f>
        <v>3576.923307406349</v>
      </c>
      <c r="N350" s="11">
        <f>IF('Model inputs'!N19="","",'Model inputs'!N19)</f>
        <v>3992.4758627049364</v>
      </c>
      <c r="O350" s="11">
        <f>IF('Model inputs'!O19="","",'Model inputs'!O19)</f>
        <v>4421.7048540706055</v>
      </c>
      <c r="P350" s="11">
        <f>IF('Model inputs'!P19="","",'Model inputs'!P19)</f>
        <v>4865.507139057645</v>
      </c>
      <c r="Q350" s="11">
        <f>IF('Model inputs'!Q19="","",'Model inputs'!Q19)</f>
        <v>5324.818027025531</v>
      </c>
      <c r="R350" s="11">
        <f>IF('Model inputs'!R19="","",'Model inputs'!R19)</f>
        <v>5800.613393461361</v>
      </c>
      <c r="S350" s="11">
        <f>IF('Model inputs'!S19="","",'Model inputs'!S19)</f>
        <v>6293.911894266446</v>
      </c>
      <c r="T350" s="11">
        <f>IF('Model inputs'!T19="","",'Model inputs'!T19)</f>
        <v>6805.777285177825</v>
      </c>
      <c r="U350" s="11">
        <f>IF('Model inputs'!U19="","",'Model inputs'!U19)</f>
        <v>7337.320851748833</v>
      </c>
      <c r="V350" s="11">
        <f>IF('Model inputs'!V19="","",'Model inputs'!V19)</f>
        <v>7889.703955579025</v>
      </c>
      <c r="W350" s="11">
        <f>IF('Model inputs'!W19="","",'Model inputs'!W19)</f>
        <v>8464.140702763445</v>
      </c>
      <c r="X350" s="11">
        <f>IF('Model inputs'!X19="","",'Model inputs'!X19)</f>
        <v>9061.900740824924</v>
      </c>
      <c r="Y350" s="11">
        <f>IF('Model inputs'!Y19="","",'Model inputs'!Y19)</f>
        <v>9684.312190701774</v>
      </c>
      <c r="Z350" s="11">
        <f>IF('Model inputs'!Z19="","",'Model inputs'!Z19)</f>
        <v>10332.7647206874</v>
      </c>
      <c r="AA350" s="11">
        <f>IF('Model inputs'!AA19="","",'Model inputs'!AA19)</f>
        <v>11008.712769558791</v>
      </c>
      <c r="AD350" s="11">
        <f>SUM('Model inputs'!AD351,'Model inputs'!AD352,'Model inputs'!AD353)</f>
        <v>0</v>
      </c>
      <c r="AE350" s="11">
        <f>SUM('Model inputs'!AE351,'Model inputs'!AE352,'Model inputs'!AE353)</f>
        <v>0</v>
      </c>
      <c r="AF350" s="11">
        <f>SUM('Model inputs'!AF351,'Model inputs'!AF352,'Model inputs'!AF353)</f>
        <v>0</v>
      </c>
      <c r="AG350" s="11">
        <f>SUM('Model inputs'!AG351,'Model inputs'!AG352,'Model inputs'!AG353)</f>
        <v>0</v>
      </c>
      <c r="AH350" s="11">
        <f>SUM('Model inputs'!AH351,'Model inputs'!AH352,'Model inputs'!AH353)</f>
        <v>0</v>
      </c>
      <c r="AI350" s="11">
        <f>SUM('Model inputs'!AI351,'Model inputs'!AI352,'Model inputs'!AI353)</f>
        <v>0</v>
      </c>
      <c r="AJ350" s="11">
        <f>SUM('Model inputs'!AJ351,'Model inputs'!AJ352,'Model inputs'!AJ353)</f>
        <v>0</v>
      </c>
      <c r="AK350" s="11">
        <f>SUM('Model inputs'!AK351,'Model inputs'!AK352,'Model inputs'!AK353)</f>
        <v>0</v>
      </c>
    </row>
    <row r="351" outlineLevel="1">
      <c r="A351" t="inlineStr" s="24">
        <is>
          <t xml:space="preserve">Contribution &gt; Agency</t>
        </is>
      </c>
      <c r="B351" s="14">
        <f>IF('Model inputs'!B20="","",'Model inputs'!B20)</f>
        <v>0</v>
      </c>
      <c r="C351" s="14">
        <f>IF('Model inputs'!C20="","",'Model inputs'!C20)</f>
        <v>0</v>
      </c>
      <c r="D351" s="14">
        <f>IF('Model inputs'!D20="","",'Model inputs'!D20)</f>
        <v>120.3222</v>
      </c>
      <c r="E351" s="14">
        <f>IF('Model inputs'!E20="","",'Model inputs'!E20)</f>
        <v>243.050844</v>
      </c>
      <c r="F351" s="14">
        <f>IF('Model inputs'!F20="","",'Model inputs'!F20)</f>
        <v>368.41454418</v>
      </c>
      <c r="G351" s="14">
        <f>IF('Model inputs'!G20="","",'Model inputs'!G20)</f>
        <v>496.6500946296</v>
      </c>
      <c r="H351" s="14">
        <f>IF('Model inputs'!H20="","",'Model inputs'!H20)</f>
        <v>628.0029779044622</v>
      </c>
      <c r="I351" s="14">
        <f>IF('Model inputs'!I20="","",'Model inputs'!I20)</f>
        <v>762.7278939867657</v>
      </c>
      <c r="J351" s="14">
        <f>IF('Model inputs'!J20="","",'Model inputs'!J20)</f>
        <v>901.0893128575722</v>
      </c>
      <c r="K351" s="14">
        <f>IF('Model inputs'!K20="","",'Model inputs'!K20)</f>
        <v>1043.362051946775</v>
      </c>
      <c r="L351" s="14">
        <f>IF('Model inputs'!L20="","",'Model inputs'!L20)</f>
        <v>1189.8318797870481</v>
      </c>
      <c r="M351" s="14">
        <f>IF('Model inputs'!M20="","",'Model inputs'!M20)</f>
        <v>1340.796147262047</v>
      </c>
      <c r="N351" s="14">
        <f>IF('Model inputs'!N20="","",'Model inputs'!N20)</f>
        <v>1496.5644479062264</v>
      </c>
      <c r="O351" s="14">
        <f>IF('Model inputs'!O20="","",'Model inputs'!O20)</f>
        <v>1657.4593087841827</v>
      </c>
      <c r="P351" s="14">
        <f>IF('Model inputs'!P20="","",'Model inputs'!P20)</f>
        <v>1823.8169135515573</v>
      </c>
      <c r="Q351" s="14">
        <f>IF('Model inputs'!Q20="","",'Model inputs'!Q20)</f>
        <v>1995.9878593774556</v>
      </c>
      <c r="R351" s="14">
        <f>IF('Model inputs'!R20="","",'Model inputs'!R20)</f>
        <v>2174.3379494901988</v>
      </c>
      <c r="S351" s="14">
        <f>IF('Model inputs'!S20="","",'Model inputs'!S20)</f>
        <v>2359.249023194264</v>
      </c>
      <c r="T351" s="14">
        <f>IF('Model inputs'!T20="","",'Model inputs'!T20)</f>
        <v>2551.119825296645</v>
      </c>
      <c r="U351" s="14">
        <f>IF('Model inputs'!U20="","",'Model inputs'!U20)</f>
        <v>2750.366916975866</v>
      </c>
      <c r="V351" s="14">
        <f>IF('Model inputs'!V20="","",'Model inputs'!V20)</f>
        <v>2957.425630226615</v>
      </c>
      <c r="W351" s="14">
        <f>IF('Model inputs'!W20="","",'Model inputs'!W20)</f>
        <v>3172.7510681178433</v>
      </c>
      <c r="X351" s="14">
        <f>IF('Model inputs'!X20="","",'Model inputs'!X20)</f>
        <v>3396.819153212237</v>
      </c>
      <c r="Y351" s="14">
        <f>IF('Model inputs'!Y20="","",'Model inputs'!Y20)</f>
        <v>3630.1277266106936</v>
      </c>
      <c r="Z351" s="14">
        <f>IF('Model inputs'!Z20="","",'Model inputs'!Z20)</f>
        <v>3873.1977002069393</v>
      </c>
      <c r="AA351" s="14">
        <f>IF('Model inputs'!AA20="","",'Model inputs'!AA20)</f>
        <v>4126.574264865025</v>
      </c>
      <c r="AD351" s="14">
        <f>'Model inputs'!AD317-'Model inputs'!AD401-'Model inputs'!AD409-'Model inputs'!AD239</f>
        <v>0</v>
      </c>
      <c r="AE351" s="14">
        <f>'Model inputs'!AE317-'Model inputs'!AE401-'Model inputs'!AE409-'Model inputs'!AE239</f>
        <v>0</v>
      </c>
      <c r="AF351" s="14">
        <f>'Model inputs'!AF317-'Model inputs'!AF401-'Model inputs'!AF409-'Model inputs'!AF239</f>
        <v>0</v>
      </c>
      <c r="AG351" s="14">
        <f>'Model inputs'!AG317-'Model inputs'!AG401-'Model inputs'!AG409-'Model inputs'!AG239</f>
        <v>0</v>
      </c>
      <c r="AH351" s="14">
        <f>'Model inputs'!AH317-'Model inputs'!AH401-'Model inputs'!AH409-'Model inputs'!AH239</f>
        <v>0</v>
      </c>
      <c r="AI351" s="14">
        <f>'Model inputs'!AI317-'Model inputs'!AI401-'Model inputs'!AI409-'Model inputs'!AI239</f>
        <v>0</v>
      </c>
      <c r="AJ351" s="14">
        <f>'Model inputs'!AJ317-'Model inputs'!AJ401-'Model inputs'!AJ409-'Model inputs'!AJ239</f>
        <v>0</v>
      </c>
      <c r="AK351" s="14">
        <f>'Model inputs'!AK317-'Model inputs'!AK401-'Model inputs'!AK409-'Model inputs'!AK239</f>
        <v>0</v>
      </c>
    </row>
    <row r="352" outlineLevel="1">
      <c r="A352" t="inlineStr" s="24">
        <is>
          <t xml:space="preserve">Contribution &gt; Developer</t>
        </is>
      </c>
      <c r="B352" s="14">
        <f>IF('Model inputs'!B21="","",'Model inputs'!B21)</f>
        <v>0</v>
      </c>
      <c r="C352" s="14">
        <f>IF('Model inputs'!C21="","",'Model inputs'!C21)</f>
        <v>0</v>
      </c>
      <c r="D352" s="14">
        <f>IF('Model inputs'!D21="","",'Model inputs'!D21)</f>
        <v>43.75144</v>
      </c>
      <c r="E352" s="14">
        <f>IF('Model inputs'!E21="","",'Model inputs'!E21)</f>
        <v>88.3779088</v>
      </c>
      <c r="F352" s="14">
        <f>IF('Model inputs'!F21="","",'Model inputs'!F21)</f>
        <v>133.962534136</v>
      </c>
      <c r="G352" s="14">
        <f>IF('Model inputs'!G21="","",'Model inputs'!G21)</f>
        <v>180.59141884192</v>
      </c>
      <c r="H352" s="14">
        <f>IF('Model inputs'!H21="","",'Model inputs'!H21)</f>
        <v>228.35382504316243</v>
      </c>
      <c r="I352" s="14">
        <f>IF('Model inputs'!I21="","",'Model inputs'!I21)</f>
        <v>277.3423664966926</v>
      </c>
      <c r="J352" s="14">
        <f>IF('Model inputs'!J21="","",'Model inputs'!J21)</f>
        <v>327.65320951685806</v>
      </c>
      <c r="K352" s="14">
        <f>IF('Model inputs'!K21="","",'Model inputs'!K21)</f>
        <v>379.38628294717194</v>
      </c>
      <c r="L352" s="14">
        <f>IF('Model inputs'!L21="","",'Model inputs'!L21)</f>
        <v>432.64549766036737</v>
      </c>
      <c r="M352" s="14">
        <f>IF('Model inputs'!M21="","",'Model inputs'!M21)</f>
        <v>487.5389760922475</v>
      </c>
      <c r="N352" s="14">
        <f>IF('Model inputs'!N21="","",'Model inputs'!N21)</f>
        <v>544.1792923392558</v>
      </c>
      <c r="O352" s="14">
        <f>IF('Model inputs'!O21="","",'Model inputs'!O21)</f>
        <v>602.6837233753425</v>
      </c>
      <c r="P352" s="14">
        <f>IF('Model inputs'!P21="","",'Model inputs'!P21)</f>
        <v>663.17451197066</v>
      </c>
      <c r="Q352" s="14">
        <f>IF('Model inputs'!Q21="","",'Model inputs'!Q21)</f>
        <v>725.7791419229466</v>
      </c>
      <c r="R352" s="14">
        <f>IF('Model inputs'!R21="","",'Model inputs'!R21)</f>
        <v>790.6306262422352</v>
      </c>
      <c r="S352" s="14">
        <f>IF('Model inputs'!S21="","",'Model inputs'!S21)</f>
        <v>857.8678089607939</v>
      </c>
      <c r="T352" s="14">
        <f>IF('Model inputs'!T21="","",'Model inputs'!T21)</f>
        <v>927.6356812730874</v>
      </c>
      <c r="U352" s="14">
        <f>IF('Model inputs'!U21="","",'Model inputs'!U21)</f>
        <v>1000.0857127450674</v>
      </c>
      <c r="V352" s="14">
        <f>IF('Model inputs'!V21="","",'Model inputs'!V21)</f>
        <v>1075.3761983683971</v>
      </c>
      <c r="W352" s="14">
        <f>IF('Model inputs'!W21="","",'Model inputs'!W21)</f>
        <v>1153.672622273311</v>
      </c>
      <c r="X352" s="14">
        <f>IF('Model inputs'!X21="","",'Model inputs'!X21)</f>
        <v>1235.1480389538754</v>
      </c>
      <c r="Y352" s="14">
        <f>IF('Model inputs'!Y21="","",'Model inputs'!Y21)</f>
        <v>1319.983472901461</v>
      </c>
      <c r="Z352" s="14">
        <f>IF('Model inputs'!Z21="","",'Model inputs'!Z21)</f>
        <v>1408.3683375864293</v>
      </c>
      <c r="AA352" s="14">
        <f>IF('Model inputs'!AA21="","",'Model inputs'!AA21)</f>
        <v>1500.5008747744494</v>
      </c>
      <c r="AD352" s="14">
        <f>'Model inputs'!AD318-'Model inputs'!AD402-'Model inputs'!AD410-'Model inputs'!AD240</f>
        <v>0</v>
      </c>
      <c r="AE352" s="14">
        <f>'Model inputs'!AE318-'Model inputs'!AE402-'Model inputs'!AE410-'Model inputs'!AE240</f>
        <v>0</v>
      </c>
      <c r="AF352" s="14">
        <f>'Model inputs'!AF318-'Model inputs'!AF402-'Model inputs'!AF410-'Model inputs'!AF240</f>
        <v>0</v>
      </c>
      <c r="AG352" s="14">
        <f>'Model inputs'!AG318-'Model inputs'!AG402-'Model inputs'!AG410-'Model inputs'!AG240</f>
        <v>0</v>
      </c>
      <c r="AH352" s="14">
        <f>'Model inputs'!AH318-'Model inputs'!AH402-'Model inputs'!AH410-'Model inputs'!AH240</f>
        <v>0</v>
      </c>
      <c r="AI352" s="14">
        <f>'Model inputs'!AI318-'Model inputs'!AI402-'Model inputs'!AI410-'Model inputs'!AI240</f>
        <v>0</v>
      </c>
      <c r="AJ352" s="14">
        <f>'Model inputs'!AJ318-'Model inputs'!AJ402-'Model inputs'!AJ410-'Model inputs'!AJ240</f>
        <v>0</v>
      </c>
      <c r="AK352" s="14">
        <f>'Model inputs'!AK318-'Model inputs'!AK402-'Model inputs'!AK410-'Model inputs'!AK240</f>
        <v>0</v>
      </c>
    </row>
    <row r="353" outlineLevel="1">
      <c r="A353" t="inlineStr" s="24">
        <is>
          <t xml:space="preserve">Contribution &gt; Team</t>
        </is>
      </c>
      <c r="B353" s="14">
        <f>IF('Model inputs'!B22="","",'Model inputs'!B22)</f>
        <v>0</v>
      </c>
      <c r="C353" s="14">
        <f>IF('Model inputs'!C22="","",'Model inputs'!C22)</f>
        <v>0</v>
      </c>
      <c r="D353" s="14">
        <f>IF('Model inputs'!D22="","",'Model inputs'!D22)</f>
        <v>156.9172</v>
      </c>
      <c r="E353" s="14">
        <f>IF('Model inputs'!E22="","",'Model inputs'!E22)</f>
        <v>316.972744</v>
      </c>
      <c r="F353" s="14">
        <f>IF('Model inputs'!F22="","",'Model inputs'!F22)</f>
        <v>480.46477467999995</v>
      </c>
      <c r="G353" s="14">
        <f>IF('Model inputs'!G22="","",'Model inputs'!G22)</f>
        <v>647.7021050896001</v>
      </c>
      <c r="H353" s="14">
        <f>IF('Model inputs'!H22="","",'Model inputs'!H22)</f>
        <v>819.0048792694123</v>
      </c>
      <c r="I353" s="14">
        <f>IF('Model inputs'!I22="","",'Model inputs'!I22)</f>
        <v>994.7052620904549</v>
      </c>
      <c r="J353" s="14">
        <f>IF('Model inputs'!J22="","",'Model inputs'!J22)</f>
        <v>1175.1481598868224</v>
      </c>
      <c r="K353" s="14">
        <f>IF('Model inputs'!K22="","",'Model inputs'!K22)</f>
        <v>1360.6919735322535</v>
      </c>
      <c r="L353" s="14">
        <f>IF('Model inputs'!L22="","",'Model inputs'!L22)</f>
        <v>1551.709385690423</v>
      </c>
      <c r="M353" s="14">
        <f>IF('Model inputs'!M22="","",'Model inputs'!M22)</f>
        <v>1748.5881840520544</v>
      </c>
      <c r="N353" s="14">
        <f>IF('Model inputs'!N22="","",'Model inputs'!N22)</f>
        <v>1951.7321224594543</v>
      </c>
      <c r="O353" s="14">
        <f>IF('Model inputs'!O22="","",'Model inputs'!O22)</f>
        <v>2161.56182191108</v>
      </c>
      <c r="P353" s="14">
        <f>IF('Model inputs'!P22="","",'Model inputs'!P22)</f>
        <v>2378.5157135354275</v>
      </c>
      <c r="Q353" s="14">
        <f>IF('Model inputs'!Q22="","",'Model inputs'!Q22)</f>
        <v>2603.0510257251285</v>
      </c>
      <c r="R353" s="14">
        <f>IF('Model inputs'!R22="","",'Model inputs'!R22)</f>
        <v>2835.6448177289267</v>
      </c>
      <c r="S353" s="14">
        <f>IF('Model inputs'!S22="","",'Model inputs'!S22)</f>
        <v>3076.7950621113887</v>
      </c>
      <c r="T353" s="14">
        <f>IF('Model inputs'!T22="","",'Model inputs'!T22)</f>
        <v>3327.021778608093</v>
      </c>
      <c r="U353" s="14">
        <f>IF('Model inputs'!U22="","",'Model inputs'!U22)</f>
        <v>3586.8682220278993</v>
      </c>
      <c r="V353" s="14">
        <f>IF('Model inputs'!V22="","",'Model inputs'!V22)</f>
        <v>3856.902126984013</v>
      </c>
      <c r="W353" s="14">
        <f>IF('Model inputs'!W22="","",'Model inputs'!W22)</f>
        <v>4137.717012372291</v>
      </c>
      <c r="X353" s="14">
        <f>IF('Model inputs'!X22="","",'Model inputs'!X22)</f>
        <v>4429.933548658812</v>
      </c>
      <c r="Y353" s="14">
        <f>IF('Model inputs'!Y22="","",'Model inputs'!Y22)</f>
        <v>4734.200991189619</v>
      </c>
      <c r="Z353" s="14">
        <f>IF('Model inputs'!Z22="","",'Model inputs'!Z22)</f>
        <v>5051.198682894032</v>
      </c>
      <c r="AA353" s="14">
        <f>IF('Model inputs'!AA22="","",'Model inputs'!AA22)</f>
        <v>5381.637629919317</v>
      </c>
      <c r="AD353" s="14">
        <f>'Model inputs'!AD319-'Model inputs'!AD403-'Model inputs'!AD411-'Model inputs'!AD241</f>
        <v>0</v>
      </c>
      <c r="AE353" s="14">
        <f>'Model inputs'!AE319-'Model inputs'!AE403-'Model inputs'!AE411-'Model inputs'!AE241</f>
        <v>0</v>
      </c>
      <c r="AF353" s="14">
        <f>'Model inputs'!AF319-'Model inputs'!AF403-'Model inputs'!AF411-'Model inputs'!AF241</f>
        <v>0</v>
      </c>
      <c r="AG353" s="14">
        <f>'Model inputs'!AG319-'Model inputs'!AG403-'Model inputs'!AG411-'Model inputs'!AG241</f>
        <v>0</v>
      </c>
      <c r="AH353" s="14">
        <f>'Model inputs'!AH319-'Model inputs'!AH403-'Model inputs'!AH411-'Model inputs'!AH241</f>
        <v>0</v>
      </c>
      <c r="AI353" s="14">
        <f>'Model inputs'!AI319-'Model inputs'!AI403-'Model inputs'!AI411-'Model inputs'!AI241</f>
        <v>0</v>
      </c>
      <c r="AJ353" s="14">
        <f>'Model inputs'!AJ319-'Model inputs'!AJ403-'Model inputs'!AJ411-'Model inputs'!AJ241</f>
        <v>0</v>
      </c>
      <c r="AK353" s="14">
        <f>'Model inputs'!AK319-'Model inputs'!AK403-'Model inputs'!AK411-'Model inputs'!AK241</f>
        <v>0</v>
      </c>
    </row>
    <row r="354">
      <c r="A354" t="inlineStr" s="23">
        <is>
          <t xml:space="preserve">Contribution</t>
        </is>
      </c>
      <c r="B354" s="11">
        <f>IF('Model inputs'!B23="","",'Model inputs'!B23)</f>
        <v>0</v>
      </c>
      <c r="C354" s="11">
        <f>IF('Model inputs'!C23="","",'Model inputs'!C23)</f>
        <v>0</v>
      </c>
      <c r="D354" s="11">
        <f>IF('Model inputs'!D23="","",'Model inputs'!D23)</f>
        <v>160.49542</v>
      </c>
      <c r="E354" s="11">
        <f>IF('Model inputs'!E23="","",'Model inputs'!E23)</f>
        <v>312.966069</v>
      </c>
      <c r="F354" s="11">
        <f>IF('Model inputs'!F23="","",'Model inputs'!F23)</f>
        <v>457.81318554999996</v>
      </c>
      <c r="G354" s="11">
        <f>IF('Model inputs'!G23="","",'Model inputs'!G23)</f>
        <v>595.4179462725</v>
      </c>
      <c r="H354" s="11">
        <f>IF('Model inputs'!H23="","",'Model inputs'!H23)</f>
        <v>726.142468958875</v>
      </c>
      <c r="I354" s="11">
        <f>IF('Model inputs'!I23="","",'Model inputs'!I23)</f>
        <v>850.3307655109313</v>
      </c>
      <c r="J354" s="11">
        <f>IF('Model inputs'!J23="","",'Model inputs'!J23)</f>
        <v>968.3096472353847</v>
      </c>
      <c r="K354" s="11">
        <f>IF('Model inputs'!K23="","",'Model inputs'!K23)</f>
        <v>1080.3895848736156</v>
      </c>
      <c r="L354" s="11">
        <f>IF('Model inputs'!L23="","",'Model inputs'!L23)</f>
        <v>1186.8655256299346</v>
      </c>
      <c r="M354" s="11">
        <f>IF('Model inputs'!M23="","",'Model inputs'!M23)</f>
        <v>1288.017669348438</v>
      </c>
      <c r="N354" s="11">
        <f>IF('Model inputs'!N23="","",'Model inputs'!N23)</f>
        <v>1384.112205881016</v>
      </c>
      <c r="O354" s="11">
        <f>IF('Model inputs'!O23="","",'Model inputs'!O23)</f>
        <v>1475.4020155869653</v>
      </c>
      <c r="P354" s="11">
        <f>IF('Model inputs'!P23="","",'Model inputs'!P23)</f>
        <v>1562.127334807617</v>
      </c>
      <c r="Q354" s="11">
        <f>IF('Model inputs'!Q23="","",'Model inputs'!Q23)</f>
        <v>1644.5163880672362</v>
      </c>
      <c r="R354" s="11">
        <f>IF('Model inputs'!R23="","",'Model inputs'!R23)</f>
        <v>1722.7859886638744</v>
      </c>
      <c r="S354" s="11">
        <f>IF('Model inputs'!S23="","",'Model inputs'!S23)</f>
        <v>1797.1421092306807</v>
      </c>
      <c r="T354" s="11">
        <f>IF('Model inputs'!T23="","",'Model inputs'!T23)</f>
        <v>1867.7804237691466</v>
      </c>
      <c r="U354" s="11">
        <f>IF('Model inputs'!U23="","",'Model inputs'!U23)</f>
        <v>1934.8868225806893</v>
      </c>
      <c r="V354" s="11">
        <f>IF('Model inputs'!V23="","",'Model inputs'!V23)</f>
        <v>1998.6379014516547</v>
      </c>
      <c r="W354" s="11">
        <f>IF('Model inputs'!W23="","",'Model inputs'!W23)</f>
        <v>2059.201426379072</v>
      </c>
      <c r="X354" s="11">
        <f>IF('Model inputs'!X23="","",'Model inputs'!X23)</f>
        <v>2116.7367750601184</v>
      </c>
      <c r="Y354" s="11">
        <f>IF('Model inputs'!Y23="","",'Model inputs'!Y23)</f>
        <v>2171.3953563071127</v>
      </c>
      <c r="Z354" s="11">
        <f>IF('Model inputs'!Z23="","",'Model inputs'!Z23)</f>
        <v>2223.3210084917573</v>
      </c>
      <c r="AA354" s="11">
        <f>IF('Model inputs'!AA23="","",'Model inputs'!AA23)</f>
        <v>2272.650378067169</v>
      </c>
      <c r="AD354" s="11">
        <f>SUM('Model inputs'!AD355,'Model inputs'!AD356,'Model inputs'!AD357)</f>
        <v>0</v>
      </c>
      <c r="AE354" s="11">
        <f>SUM('Model inputs'!AE355,'Model inputs'!AE356,'Model inputs'!AE357)</f>
        <v>0</v>
      </c>
      <c r="AF354" s="11">
        <f>SUM('Model inputs'!AF355,'Model inputs'!AF356,'Model inputs'!AF357)</f>
        <v>0</v>
      </c>
      <c r="AG354" s="11">
        <f>SUM('Model inputs'!AG355,'Model inputs'!AG356,'Model inputs'!AG357)</f>
        <v>0</v>
      </c>
      <c r="AH354" s="11">
        <f>SUM('Model inputs'!AH355,'Model inputs'!AH356,'Model inputs'!AH357)</f>
        <v>0</v>
      </c>
      <c r="AI354" s="11">
        <f>SUM('Model inputs'!AI355,'Model inputs'!AI356,'Model inputs'!AI357)</f>
        <v>0</v>
      </c>
      <c r="AJ354" s="11">
        <f>SUM('Model inputs'!AJ355,'Model inputs'!AJ356,'Model inputs'!AJ357)</f>
        <v>0</v>
      </c>
      <c r="AK354" s="11">
        <f>SUM('Model inputs'!AK355,'Model inputs'!AK356,'Model inputs'!AK357)</f>
        <v>0</v>
      </c>
    </row>
    <row r="355" outlineLevel="1">
      <c r="A355" t="inlineStr" s="24">
        <is>
          <t xml:space="preserve">Contribution &gt; Agency</t>
        </is>
      </c>
      <c r="B355" s="14">
        <f>IF('Model inputs'!B24="","",'Model inputs'!B24)</f>
        <v>0</v>
      </c>
      <c r="C355" s="14">
        <f>IF('Model inputs'!C24="","",'Model inputs'!C24)</f>
        <v>0</v>
      </c>
      <c r="D355" s="14">
        <f>IF('Model inputs'!D24="","",'Model inputs'!D24)</f>
        <v>60.1611</v>
      </c>
      <c r="E355" s="14">
        <f>IF('Model inputs'!E24="","",'Model inputs'!E24)</f>
        <v>117.314145</v>
      </c>
      <c r="F355" s="14">
        <f>IF('Model inputs'!F24="","",'Model inputs'!F24)</f>
        <v>171.60953775</v>
      </c>
      <c r="G355" s="14">
        <f>IF('Model inputs'!G24="","",'Model inputs'!G24)</f>
        <v>223.19016086250002</v>
      </c>
      <c r="H355" s="14">
        <f>IF('Model inputs'!H24="","",'Model inputs'!H24)</f>
        <v>272.191752819375</v>
      </c>
      <c r="I355" s="14">
        <f>IF('Model inputs'!I24="","",'Model inputs'!I24)</f>
        <v>318.74326517840626</v>
      </c>
      <c r="J355" s="14">
        <f>IF('Model inputs'!J24="","",'Model inputs'!J24)</f>
        <v>362.96720191948594</v>
      </c>
      <c r="K355" s="14">
        <f>IF('Model inputs'!K24="","",'Model inputs'!K24)</f>
        <v>404.97994182351164</v>
      </c>
      <c r="L355" s="14">
        <f>IF('Model inputs'!L24="","",'Model inputs'!L24)</f>
        <v>444.89204473233605</v>
      </c>
      <c r="M355" s="14">
        <f>IF('Model inputs'!M24="","",'Model inputs'!M24)</f>
        <v>482.8085424957193</v>
      </c>
      <c r="N355" s="14">
        <f>IF('Model inputs'!N24="","",'Model inputs'!N24)</f>
        <v>518.8292153709333</v>
      </c>
      <c r="O355" s="14">
        <f>IF('Model inputs'!O24="","",'Model inputs'!O24)</f>
        <v>553.0488546023867</v>
      </c>
      <c r="P355" s="14">
        <f>IF('Model inputs'!P24="","",'Model inputs'!P24)</f>
        <v>585.5575118722674</v>
      </c>
      <c r="Q355" s="14">
        <f>IF('Model inputs'!Q24="","",'Model inputs'!Q24)</f>
        <v>616.440736278654</v>
      </c>
      <c r="R355" s="14">
        <f>IF('Model inputs'!R24="","",'Model inputs'!R24)</f>
        <v>645.7797994647212</v>
      </c>
      <c r="S355" s="14">
        <f>IF('Model inputs'!S24="","",'Model inputs'!S24)</f>
        <v>673.6519094914852</v>
      </c>
      <c r="T355" s="14">
        <f>IF('Model inputs'!T24="","",'Model inputs'!T24)</f>
        <v>700.130414016911</v>
      </c>
      <c r="U355" s="14">
        <f>IF('Model inputs'!U24="","",'Model inputs'!U24)</f>
        <v>725.2849933160654</v>
      </c>
      <c r="V355" s="14">
        <f>IF('Model inputs'!V24="","",'Model inputs'!V24)</f>
        <v>749.1818436502621</v>
      </c>
      <c r="W355" s="14">
        <f>IF('Model inputs'!W24="","",'Model inputs'!W24)</f>
        <v>771.8838514677491</v>
      </c>
      <c r="X355" s="14">
        <f>IF('Model inputs'!X24="","",'Model inputs'!X24)</f>
        <v>793.4507588943617</v>
      </c>
      <c r="Y355" s="14">
        <f>IF('Model inputs'!Y24="","",'Model inputs'!Y24)</f>
        <v>813.9393209496435</v>
      </c>
      <c r="Z355" s="14">
        <f>IF('Model inputs'!Z24="","",'Model inputs'!Z24)</f>
        <v>833.4034549021615</v>
      </c>
      <c r="AA355" s="14">
        <f>IF('Model inputs'!AA24="","",'Model inputs'!AA24)</f>
        <v>851.8943821570532</v>
      </c>
      <c r="AD355" s="14">
        <f>'Model inputs'!AD321-'Model inputs'!AD251-'Model inputs'!AD262-'Model inputs'!AD243</f>
        <v>0</v>
      </c>
      <c r="AE355" s="14">
        <f>'Model inputs'!AE321-'Model inputs'!AE251-'Model inputs'!AE262-'Model inputs'!AE243</f>
        <v>0</v>
      </c>
      <c r="AF355" s="14">
        <f>'Model inputs'!AF321-'Model inputs'!AF251-'Model inputs'!AF262-'Model inputs'!AF243</f>
        <v>0</v>
      </c>
      <c r="AG355" s="14">
        <f>'Model inputs'!AG321-'Model inputs'!AG251-'Model inputs'!AG262-'Model inputs'!AG243</f>
        <v>0</v>
      </c>
      <c r="AH355" s="14">
        <f>'Model inputs'!AH321-'Model inputs'!AH251-'Model inputs'!AH262-'Model inputs'!AH243</f>
        <v>0</v>
      </c>
      <c r="AI355" s="14">
        <f>'Model inputs'!AI321-'Model inputs'!AI251-'Model inputs'!AI262-'Model inputs'!AI243</f>
        <v>0</v>
      </c>
      <c r="AJ355" s="14">
        <f>'Model inputs'!AJ321-'Model inputs'!AJ251-'Model inputs'!AJ262-'Model inputs'!AJ243</f>
        <v>0</v>
      </c>
      <c r="AK355" s="14">
        <f>'Model inputs'!AK321-'Model inputs'!AK251-'Model inputs'!AK262-'Model inputs'!AK243</f>
        <v>0</v>
      </c>
    </row>
    <row r="356" outlineLevel="1">
      <c r="A356" t="inlineStr" s="24">
        <is>
          <t xml:space="preserve">Contribution &gt; Developer</t>
        </is>
      </c>
      <c r="B356" s="14">
        <f>IF('Model inputs'!B25="","",'Model inputs'!B25)</f>
        <v>0</v>
      </c>
      <c r="C356" s="14">
        <f>IF('Model inputs'!C25="","",'Model inputs'!C25)</f>
        <v>0</v>
      </c>
      <c r="D356" s="14">
        <f>IF('Model inputs'!D25="","",'Model inputs'!D25)</f>
        <v>21.87572</v>
      </c>
      <c r="E356" s="14">
        <f>IF('Model inputs'!E25="","",'Model inputs'!E25)</f>
        <v>42.657653999999994</v>
      </c>
      <c r="F356" s="14">
        <f>IF('Model inputs'!F25="","",'Model inputs'!F25)</f>
        <v>62.4004913</v>
      </c>
      <c r="G356" s="14">
        <f>IF('Model inputs'!G25="","",'Model inputs'!G25)</f>
        <v>81.156186735</v>
      </c>
      <c r="H356" s="14">
        <f>IF('Model inputs'!H25="","",'Model inputs'!H25)</f>
        <v>98.97409739825</v>
      </c>
      <c r="I356" s="14">
        <f>IF('Model inputs'!I25="","",'Model inputs'!I25)</f>
        <v>115.9011125283375</v>
      </c>
      <c r="J356" s="14">
        <f>IF('Model inputs'!J25="","",'Model inputs'!J25)</f>
        <v>131.98177690192065</v>
      </c>
      <c r="K356" s="14">
        <f>IF('Model inputs'!K25="","",'Model inputs'!K25)</f>
        <v>147.2584080568246</v>
      </c>
      <c r="L356" s="14">
        <f>IF('Model inputs'!L25="","",'Model inputs'!L25)</f>
        <v>161.77120765398337</v>
      </c>
      <c r="M356" s="14">
        <f>IF('Model inputs'!M25="","",'Model inputs'!M25)</f>
        <v>175.55836727128423</v>
      </c>
      <c r="N356" s="14">
        <f>IF('Model inputs'!N25="","",'Model inputs'!N25)</f>
        <v>188.65616890772003</v>
      </c>
      <c r="O356" s="14">
        <f>IF('Model inputs'!O25="","",'Model inputs'!O25)</f>
        <v>201.09908046233403</v>
      </c>
      <c r="P356" s="14">
        <f>IF('Model inputs'!P25="","",'Model inputs'!P25)</f>
        <v>212.91984643921734</v>
      </c>
      <c r="Q356" s="14">
        <f>IF('Model inputs'!Q25="","",'Model inputs'!Q25)</f>
        <v>224.14957411725644</v>
      </c>
      <c r="R356" s="14">
        <f>IF('Model inputs'!R25="","",'Model inputs'!R25)</f>
        <v>234.8178154113936</v>
      </c>
      <c r="S356" s="14">
        <f>IF('Model inputs'!S25="","",'Model inputs'!S25)</f>
        <v>244.95264464082393</v>
      </c>
      <c r="T356" s="14">
        <f>IF('Model inputs'!T25="","",'Model inputs'!T25)</f>
        <v>254.58073240878272</v>
      </c>
      <c r="U356" s="14">
        <f>IF('Model inputs'!U25="","",'Model inputs'!U25)</f>
        <v>263.72741578834365</v>
      </c>
      <c r="V356" s="14">
        <f>IF('Model inputs'!V25="","",'Model inputs'!V25)</f>
        <v>272.41676499892634</v>
      </c>
      <c r="W356" s="14">
        <f>IF('Model inputs'!W25="","",'Model inputs'!W25)</f>
        <v>280.67164674898004</v>
      </c>
      <c r="X356" s="14">
        <f>IF('Model inputs'!X25="","",'Model inputs'!X25)</f>
        <v>288.51378441153105</v>
      </c>
      <c r="Y356" s="14">
        <f>IF('Model inputs'!Y25="","",'Model inputs'!Y25)</f>
        <v>295.9638151909546</v>
      </c>
      <c r="Z356" s="14">
        <f>IF('Model inputs'!Z25="","",'Model inputs'!Z25)</f>
        <v>303.04134443140686</v>
      </c>
      <c r="AA356" s="14">
        <f>IF('Model inputs'!AA25="","",'Model inputs'!AA25)</f>
        <v>309.76499720983645</v>
      </c>
      <c r="AD356" s="14">
        <f>'Model inputs'!AD322-'Model inputs'!AD252-'Model inputs'!AD263-'Model inputs'!AD244</f>
        <v>0</v>
      </c>
      <c r="AE356" s="14">
        <f>'Model inputs'!AE322-'Model inputs'!AE252-'Model inputs'!AE263-'Model inputs'!AE244</f>
        <v>0</v>
      </c>
      <c r="AF356" s="14">
        <f>'Model inputs'!AF322-'Model inputs'!AF252-'Model inputs'!AF263-'Model inputs'!AF244</f>
        <v>0</v>
      </c>
      <c r="AG356" s="14">
        <f>'Model inputs'!AG322-'Model inputs'!AG252-'Model inputs'!AG263-'Model inputs'!AG244</f>
        <v>0</v>
      </c>
      <c r="AH356" s="14">
        <f>'Model inputs'!AH322-'Model inputs'!AH252-'Model inputs'!AH263-'Model inputs'!AH244</f>
        <v>0</v>
      </c>
      <c r="AI356" s="14">
        <f>'Model inputs'!AI322-'Model inputs'!AI252-'Model inputs'!AI263-'Model inputs'!AI244</f>
        <v>0</v>
      </c>
      <c r="AJ356" s="14">
        <f>'Model inputs'!AJ322-'Model inputs'!AJ252-'Model inputs'!AJ263-'Model inputs'!AJ244</f>
        <v>0</v>
      </c>
      <c r="AK356" s="14">
        <f>'Model inputs'!AK322-'Model inputs'!AK252-'Model inputs'!AK263-'Model inputs'!AK244</f>
        <v>0</v>
      </c>
    </row>
    <row r="357" outlineLevel="1">
      <c r="A357" t="inlineStr" s="24">
        <is>
          <t xml:space="preserve">Contribution &gt; Team</t>
        </is>
      </c>
      <c r="B357" s="14">
        <f>IF('Model inputs'!B26="","",'Model inputs'!B26)</f>
        <v>0</v>
      </c>
      <c r="C357" s="14">
        <f>IF('Model inputs'!C26="","",'Model inputs'!C26)</f>
        <v>0</v>
      </c>
      <c r="D357" s="14">
        <f>IF('Model inputs'!D26="","",'Model inputs'!D26)</f>
        <v>78.4586</v>
      </c>
      <c r="E357" s="14">
        <f>IF('Model inputs'!E26="","",'Model inputs'!E26)</f>
        <v>152.99427</v>
      </c>
      <c r="F357" s="14">
        <f>IF('Model inputs'!F26="","",'Model inputs'!F26)</f>
        <v>223.8031565</v>
      </c>
      <c r="G357" s="14">
        <f>IF('Model inputs'!G26="","",'Model inputs'!G26)</f>
        <v>291.07159867499996</v>
      </c>
      <c r="H357" s="14">
        <f>IF('Model inputs'!H26="","",'Model inputs'!H26)</f>
        <v>354.97661874125004</v>
      </c>
      <c r="I357" s="14">
        <f>IF('Model inputs'!I26="","",'Model inputs'!I26)</f>
        <v>415.6863878041875</v>
      </c>
      <c r="J357" s="14">
        <f>IF('Model inputs'!J26="","",'Model inputs'!J26)</f>
        <v>473.3606684139781</v>
      </c>
      <c r="K357" s="14">
        <f>IF('Model inputs'!K26="","",'Model inputs'!K26)</f>
        <v>528.1512349932792</v>
      </c>
      <c r="L357" s="14">
        <f>IF('Model inputs'!L26="","",'Model inputs'!L26)</f>
        <v>580.2022732436152</v>
      </c>
      <c r="M357" s="14">
        <f>IF('Model inputs'!M26="","",'Model inputs'!M26)</f>
        <v>629.6507595814345</v>
      </c>
      <c r="N357" s="14">
        <f>IF('Model inputs'!N26="","",'Model inputs'!N26)</f>
        <v>676.6268216023628</v>
      </c>
      <c r="O357" s="14">
        <f>IF('Model inputs'!O26="","",'Model inputs'!O26)</f>
        <v>721.2540805222446</v>
      </c>
      <c r="P357" s="14">
        <f>IF('Model inputs'!P26="","",'Model inputs'!P26)</f>
        <v>763.6499764961324</v>
      </c>
      <c r="Q357" s="14">
        <f>IF('Model inputs'!Q26="","",'Model inputs'!Q26)</f>
        <v>803.9260776713259</v>
      </c>
      <c r="R357" s="14">
        <f>IF('Model inputs'!R26="","",'Model inputs'!R26)</f>
        <v>842.1883737877595</v>
      </c>
      <c r="S357" s="14">
        <f>IF('Model inputs'!S26="","",'Model inputs'!S26)</f>
        <v>878.5375550983716</v>
      </c>
      <c r="T357" s="14">
        <f>IF('Model inputs'!T26="","",'Model inputs'!T26)</f>
        <v>913.069277343453</v>
      </c>
      <c r="U357" s="14">
        <f>IF('Model inputs'!U26="","",'Model inputs'!U26)</f>
        <v>945.8744134762802</v>
      </c>
      <c r="V357" s="14">
        <f>IF('Model inputs'!V26="","",'Model inputs'!V26)</f>
        <v>977.0392928024663</v>
      </c>
      <c r="W357" s="14">
        <f>IF('Model inputs'!W26="","",'Model inputs'!W26)</f>
        <v>1006.6459281623429</v>
      </c>
      <c r="X357" s="14">
        <f>IF('Model inputs'!X26="","",'Model inputs'!X26)</f>
        <v>1034.7722317542257</v>
      </c>
      <c r="Y357" s="14">
        <f>IF('Model inputs'!Y26="","",'Model inputs'!Y26)</f>
        <v>1061.4922201665147</v>
      </c>
      <c r="Z357" s="14">
        <f>IF('Model inputs'!Z26="","",'Model inputs'!Z26)</f>
        <v>1086.8762091581889</v>
      </c>
      <c r="AA357" s="14">
        <f>IF('Model inputs'!AA26="","",'Model inputs'!AA26)</f>
        <v>1110.9909987002795</v>
      </c>
      <c r="AD357" s="14">
        <f>'Model inputs'!AD323-'Model inputs'!AD253-'Model inputs'!AD264-'Model inputs'!AD245</f>
        <v>0</v>
      </c>
      <c r="AE357" s="14">
        <f>'Model inputs'!AE323-'Model inputs'!AE253-'Model inputs'!AE264-'Model inputs'!AE245</f>
        <v>0</v>
      </c>
      <c r="AF357" s="14">
        <f>'Model inputs'!AF323-'Model inputs'!AF253-'Model inputs'!AF264-'Model inputs'!AF245</f>
        <v>0</v>
      </c>
      <c r="AG357" s="14">
        <f>'Model inputs'!AG323-'Model inputs'!AG253-'Model inputs'!AG264-'Model inputs'!AG245</f>
        <v>0</v>
      </c>
      <c r="AH357" s="14">
        <f>'Model inputs'!AH323-'Model inputs'!AH253-'Model inputs'!AH264-'Model inputs'!AH245</f>
        <v>0</v>
      </c>
      <c r="AI357" s="14">
        <f>'Model inputs'!AI323-'Model inputs'!AI253-'Model inputs'!AI264-'Model inputs'!AI245</f>
        <v>0</v>
      </c>
      <c r="AJ357" s="14">
        <f>'Model inputs'!AJ323-'Model inputs'!AJ253-'Model inputs'!AJ264-'Model inputs'!AJ245</f>
        <v>0</v>
      </c>
      <c r="AK357" s="14">
        <f>'Model inputs'!AK323-'Model inputs'!AK253-'Model inputs'!AK264-'Model inputs'!AK245</f>
        <v>0</v>
      </c>
    </row>
    <row r="358">
      <c r="A358" t="inlineStr" s="23">
        <is>
          <t xml:space="preserve">Contribution</t>
        </is>
      </c>
      <c r="B358" s="11">
        <f>IF('Model inputs'!B27="","",'Model inputs'!B27)</f>
        <v>0</v>
      </c>
      <c r="C358" s="11">
        <f>IF('Model inputs'!C27="","",'Model inputs'!C27)</f>
        <v>0</v>
      </c>
      <c r="D358" s="11">
        <f>IF('Model inputs'!D27="","",'Model inputs'!D27)</f>
        <v>563.5230799999999</v>
      </c>
      <c r="E358" s="11">
        <f>IF('Model inputs'!E27="","",'Model inputs'!E27)</f>
        <v>1160.8575448000001</v>
      </c>
      <c r="F358" s="11">
        <f>IF('Model inputs'!F27="","",'Model inputs'!F27)</f>
        <v>1794.933714416</v>
      </c>
      <c r="G358" s="11">
        <f>IF('Model inputs'!G27="","",'Model inputs'!G27)</f>
        <v>2468.91182628064</v>
      </c>
      <c r="H358" s="11">
        <f>IF('Model inputs'!H27="","",'Model inputs'!H27)</f>
        <v>3186.2005188002245</v>
      </c>
      <c r="I358" s="11">
        <f>IF('Model inputs'!I27="","",'Model inputs'!I27)</f>
        <v>3950.4767917930335</v>
      </c>
      <c r="J358" s="11">
        <f>IF('Model inputs'!J27="","",'Model inputs'!J27)</f>
        <v>4765.70756199549</v>
      </c>
      <c r="K358" s="11">
        <f>IF('Model inputs'!K27="","",'Model inputs'!K27)</f>
        <v>5636.172941276964</v>
      </c>
      <c r="L358" s="11">
        <f>IF('Model inputs'!L27="","",'Model inputs'!L27)</f>
        <v>6566.491375414519</v>
      </c>
      <c r="M358" s="11">
        <f>IF('Model inputs'!M27="","",'Model inputs'!M27)</f>
        <v>7561.646792306371</v>
      </c>
      <c r="N358" s="11">
        <f>IF('Model inputs'!N27="","",'Model inputs'!N27)</f>
        <v>8627.017920412396</v>
      </c>
      <c r="O358" s="11">
        <f>IF('Model inputs'!O27="","",'Model inputs'!O27)</f>
        <v>9768.409951072474</v>
      </c>
      <c r="P358" s="11">
        <f>IF('Model inputs'!P27="","",'Model inputs'!P27)</f>
        <v>10992.088732244818</v>
      </c>
      <c r="Q358" s="11">
        <f>IF('Model inputs'!Q27="","",'Model inputs'!Q27)</f>
        <v>12304.817696209215</v>
      </c>
      <c r="R358" s="11">
        <f>IF('Model inputs'!R27="","",'Model inputs'!R27)</f>
        <v>13713.89773998307</v>
      </c>
      <c r="S358" s="11">
        <f>IF('Model inputs'!S27="","",'Model inputs'!S27)</f>
        <v>15227.21029469729</v>
      </c>
      <c r="T358" s="11">
        <f>IF('Model inputs'!T27="","",'Model inputs'!T27)</f>
        <v>16853.26383907834</v>
      </c>
      <c r="U358" s="11">
        <f>IF('Model inputs'!U27="","",'Model inputs'!U27)</f>
        <v>18601.244132593765</v>
      </c>
      <c r="V358" s="11">
        <f>IF('Model inputs'!V27="","",'Model inputs'!V27)</f>
        <v>20481.06846586264</v>
      </c>
      <c r="W358" s="11">
        <f>IF('Model inputs'!W27="","",'Model inputs'!W27)</f>
        <v>22503.444249739798</v>
      </c>
      <c r="X358" s="11">
        <f>IF('Model inputs'!X27="","",'Model inputs'!X27)</f>
        <v>24679.932290194967</v>
      </c>
      <c r="Y358" s="11">
        <f>IF('Model inputs'!Y27="","",'Model inputs'!Y27)</f>
        <v>27023.01512387703</v>
      </c>
      <c r="Z358" s="11">
        <f>IF('Model inputs'!Z27="","",'Model inputs'!Z27)</f>
        <v>29546.170819244333</v>
      </c>
      <c r="AA358" s="11">
        <f>IF('Model inputs'!AA27="","",'Model inputs'!AA27)</f>
        <v>32263.95268053187</v>
      </c>
      <c r="AD358" s="11">
        <f>SUM('Model inputs'!AD359,'Model inputs'!AD360,'Model inputs'!AD361)</f>
        <v>0</v>
      </c>
      <c r="AE358" s="11">
        <f>SUM('Model inputs'!AE359,'Model inputs'!AE360,'Model inputs'!AE361)</f>
        <v>0</v>
      </c>
      <c r="AF358" s="11">
        <f>SUM('Model inputs'!AF359,'Model inputs'!AF360,'Model inputs'!AF361)</f>
        <v>0</v>
      </c>
      <c r="AG358" s="11">
        <f>SUM('Model inputs'!AG359,'Model inputs'!AG360,'Model inputs'!AG361)</f>
        <v>0</v>
      </c>
      <c r="AH358" s="11">
        <f>SUM('Model inputs'!AH359,'Model inputs'!AH360,'Model inputs'!AH361)</f>
        <v>0</v>
      </c>
      <c r="AI358" s="11">
        <f>SUM('Model inputs'!AI359,'Model inputs'!AI360,'Model inputs'!AI361)</f>
        <v>0</v>
      </c>
      <c r="AJ358" s="11">
        <f>SUM('Model inputs'!AJ359,'Model inputs'!AJ360,'Model inputs'!AJ361)</f>
        <v>0</v>
      </c>
      <c r="AK358" s="11">
        <f>SUM('Model inputs'!AK359,'Model inputs'!AK360,'Model inputs'!AK361)</f>
        <v>0</v>
      </c>
    </row>
    <row r="359" outlineLevel="1">
      <c r="A359" t="inlineStr" s="24">
        <is>
          <t xml:space="preserve">Contribution &gt; Agency</t>
        </is>
      </c>
      <c r="B359" s="14">
        <f>IF('Model inputs'!B28="","",'Model inputs'!B28)</f>
        <v>0</v>
      </c>
      <c r="C359" s="14">
        <f>IF('Model inputs'!C28="","",'Model inputs'!C28)</f>
        <v>0</v>
      </c>
      <c r="D359" s="14">
        <f>IF('Model inputs'!D28="","",'Model inputs'!D28)</f>
        <v>240.6444</v>
      </c>
      <c r="E359" s="14">
        <f>IF('Model inputs'!E28="","",'Model inputs'!E28)</f>
        <v>495.7274640000001</v>
      </c>
      <c r="F359" s="14">
        <f>IF('Model inputs'!F28="","",'Model inputs'!F28)</f>
        <v>766.50054288</v>
      </c>
      <c r="G359" s="14">
        <f>IF('Model inputs'!G28="","",'Model inputs'!G28)</f>
        <v>1054.3131704352</v>
      </c>
      <c r="H359" s="14">
        <f>IF('Model inputs'!H28="","",'Model inputs'!H28)</f>
        <v>1360.62095651232</v>
      </c>
      <c r="I359" s="14">
        <f>IF('Model inputs'!I28="","",'Model inputs'!I28)</f>
        <v>1686.994110826764</v>
      </c>
      <c r="J359" s="14">
        <f>IF('Model inputs'!J28="","",'Model inputs'!J28)</f>
        <v>2035.1266479304943</v>
      </c>
      <c r="K359" s="14">
        <f>IF('Model inputs'!K28="","",'Model inputs'!K28)</f>
        <v>2406.8463278377703</v>
      </c>
      <c r="L359" s="14">
        <f>IF('Model inputs'!L28="","",'Model inputs'!L28)</f>
        <v>2804.125391176173</v>
      </c>
      <c r="M359" s="14">
        <f>IF('Model inputs'!M28="","",'Model inputs'!M28)</f>
        <v>3229.0921524394194</v>
      </c>
      <c r="N359" s="14">
        <f>IF('Model inputs'!N28="","",'Model inputs'!N28)</f>
        <v>3684.0435200043416</v>
      </c>
      <c r="O359" s="14">
        <f>IF('Model inputs'!O28="","",'Model inputs'!O28)</f>
        <v>4171.458517067063</v>
      </c>
      <c r="P359" s="14">
        <f>IF('Model inputs'!P28="","",'Model inputs'!P28)</f>
        <v>4694.012883585558</v>
      </c>
      <c r="Q359" s="14">
        <f>IF('Model inputs'!Q28="","",'Model inputs'!Q28)</f>
        <v>5254.594845722466</v>
      </c>
      <c r="R359" s="14">
        <f>IF('Model inputs'!R28="","",'Model inputs'!R28)</f>
        <v>5856.322146201326</v>
      </c>
      <c r="S359" s="14">
        <f>IF('Model inputs'!S28="","",'Model inputs'!S28)</f>
        <v>6502.560436462075</v>
      </c>
      <c r="T359" s="14">
        <f>IF('Model inputs'!T28="","",'Model inputs'!T28)</f>
        <v>7196.94313957239</v>
      </c>
      <c r="U359" s="14">
        <f>IF('Model inputs'!U28="","",'Model inputs'!U28)</f>
        <v>7943.392901567664</v>
      </c>
      <c r="V359" s="14">
        <f>IF('Model inputs'!V28="","",'Model inputs'!V28)</f>
        <v>8746.144758305969</v>
      </c>
      <c r="W359" s="14">
        <f>IF('Model inputs'!W28="","",'Model inputs'!W28)</f>
        <v>9609.77115509108</v>
      </c>
      <c r="X359" s="14">
        <f>IF('Model inputs'!X28="","",'Model inputs'!X28)</f>
        <v>10539.208967296589</v>
      </c>
      <c r="Y359" s="14">
        <f>IF('Model inputs'!Y28="","",'Model inputs'!Y28)</f>
        <v>11539.788682082575</v>
      </c>
      <c r="Z359" s="14">
        <f>IF('Model inputs'!Z28="","",'Model inputs'!Z28)</f>
        <v>12617.265914103395</v>
      </c>
      <c r="AA359" s="14">
        <f>IF('Model inputs'!AA28="","",'Model inputs'!AA28)</f>
        <v>13777.855441936794</v>
      </c>
      <c r="AD359" s="14">
        <f>'Model inputs'!AD325-'Model inputs'!AD255-'Model inputs'!AD266-'Model inputs'!AD247</f>
        <v>0</v>
      </c>
      <c r="AE359" s="14">
        <f>'Model inputs'!AE325-'Model inputs'!AE255-'Model inputs'!AE266-'Model inputs'!AE247</f>
        <v>0</v>
      </c>
      <c r="AF359" s="14">
        <f>'Model inputs'!AF325-'Model inputs'!AF255-'Model inputs'!AF266-'Model inputs'!AF247</f>
        <v>0</v>
      </c>
      <c r="AG359" s="14">
        <f>'Model inputs'!AG325-'Model inputs'!AG255-'Model inputs'!AG266-'Model inputs'!AG247</f>
        <v>0</v>
      </c>
      <c r="AH359" s="14">
        <f>'Model inputs'!AH325-'Model inputs'!AH255-'Model inputs'!AH266-'Model inputs'!AH247</f>
        <v>0</v>
      </c>
      <c r="AI359" s="14">
        <f>'Model inputs'!AI325-'Model inputs'!AI255-'Model inputs'!AI266-'Model inputs'!AI247</f>
        <v>0</v>
      </c>
      <c r="AJ359" s="14">
        <f>'Model inputs'!AJ325-'Model inputs'!AJ255-'Model inputs'!AJ266-'Model inputs'!AJ247</f>
        <v>0</v>
      </c>
      <c r="AK359" s="14">
        <f>'Model inputs'!AK325-'Model inputs'!AK255-'Model inputs'!AK266-'Model inputs'!AK247</f>
        <v>0</v>
      </c>
    </row>
    <row r="360" outlineLevel="1">
      <c r="A360" t="inlineStr" s="24">
        <is>
          <t xml:space="preserve">Contribution &gt; Developer</t>
        </is>
      </c>
      <c r="B360" s="14">
        <f>IF('Model inputs'!B29="","",'Model inputs'!B29)</f>
        <v>0</v>
      </c>
      <c r="C360" s="14">
        <f>IF('Model inputs'!C29="","",'Model inputs'!C29)</f>
        <v>0</v>
      </c>
      <c r="D360" s="14">
        <f>IF('Model inputs'!D29="","",'Model inputs'!D29)</f>
        <v>87.50288</v>
      </c>
      <c r="E360" s="14">
        <f>IF('Model inputs'!E29="","",'Model inputs'!E29)</f>
        <v>180.25593279999998</v>
      </c>
      <c r="F360" s="14">
        <f>IF('Model inputs'!F29="","",'Model inputs'!F29)</f>
        <v>278.71417337599996</v>
      </c>
      <c r="G360" s="14">
        <f>IF('Model inputs'!G29="","",'Model inputs'!G29)</f>
        <v>383.36831787904</v>
      </c>
      <c r="H360" s="14">
        <f>IF('Model inputs'!H29="","",'Model inputs'!H29)</f>
        <v>494.74765372966397</v>
      </c>
      <c r="I360" s="14">
        <f>IF('Model inputs'!I29="","",'Model inputs'!I29)</f>
        <v>613.4231390399322</v>
      </c>
      <c r="J360" s="14">
        <f>IF('Model inputs'!J29="","",'Model inputs'!J29)</f>
        <v>740.0107497147834</v>
      </c>
      <c r="K360" s="14">
        <f>IF('Model inputs'!K29="","",'Model inputs'!K29)</f>
        <v>875.17509405259</v>
      </c>
      <c r="L360" s="14">
        <f>IF('Model inputs'!L29="","",'Model inputs'!L29)</f>
        <v>1019.6333162502085</v>
      </c>
      <c r="M360" s="14">
        <f>IF('Model inputs'!M29="","",'Model inputs'!M29)</f>
        <v>1174.1593119301683</v>
      </c>
      <c r="N360" s="14">
        <f>IF('Model inputs'!N29="","",'Model inputs'!N29)</f>
        <v>1339.588280656926</v>
      </c>
      <c r="O360" s="14">
        <f>IF('Model inputs'!O29="","",'Model inputs'!O29)</f>
        <v>1516.8216424063774</v>
      </c>
      <c r="P360" s="14">
        <f>IF('Model inputs'!P29="","",'Model inputs'!P29)</f>
        <v>1706.8323471098472</v>
      </c>
      <c r="Q360" s="14">
        <f>IF('Model inputs'!Q29="","",'Model inputs'!Q29)</f>
        <v>1910.6706087233754</v>
      </c>
      <c r="R360" s="14">
        <f>IF('Model inputs'!R29="","",'Model inputs'!R29)</f>
        <v>2129.470097789091</v>
      </c>
      <c r="S360" s="14">
        <f>IF('Model inputs'!S29="","",'Model inputs'!S29)</f>
        <v>2364.454629172707</v>
      </c>
      <c r="T360" s="14">
        <f>IF('Model inputs'!T29="","",'Model inputs'!T29)</f>
        <v>2616.9453845958024</v>
      </c>
      <c r="U360" s="14">
        <f>IF('Model inputs'!U29="","",'Model inputs'!U29)</f>
        <v>2888.3687127509597</v>
      </c>
      <c r="V360" s="14">
        <f>IF('Model inputs'!V29="","",'Model inputs'!V29)</f>
        <v>3180.2645532107804</v>
      </c>
      <c r="W360" s="14">
        <f>IF('Model inputs'!W29="","",'Model inputs'!W29)</f>
        <v>3494.295534038591</v>
      </c>
      <c r="X360" s="14">
        <f>IF('Model inputs'!X29="","",'Model inputs'!X29)</f>
        <v>3832.256797001208</v>
      </c>
      <c r="Y360" s="14">
        <f>IF('Model inputs'!Y29="","",'Model inputs'!Y29)</f>
        <v>4196.086608596042</v>
      </c>
      <c r="Z360" s="14">
        <f>IF('Model inputs'!Z29="","",'Model inputs'!Z29)</f>
        <v>4587.877819761771</v>
      </c>
      <c r="AA360" s="14">
        <f>IF('Model inputs'!AA29="","",'Model inputs'!AA29)</f>
        <v>5009.8902421711955</v>
      </c>
      <c r="AD360" s="14">
        <f>'Model inputs'!AD326-'Model inputs'!AD256-'Model inputs'!AD267-'Model inputs'!AD248</f>
        <v>0</v>
      </c>
      <c r="AE360" s="14">
        <f>'Model inputs'!AE326-'Model inputs'!AE256-'Model inputs'!AE267-'Model inputs'!AE248</f>
        <v>0</v>
      </c>
      <c r="AF360" s="14">
        <f>'Model inputs'!AF326-'Model inputs'!AF256-'Model inputs'!AF267-'Model inputs'!AF248</f>
        <v>0</v>
      </c>
      <c r="AG360" s="14">
        <f>'Model inputs'!AG326-'Model inputs'!AG256-'Model inputs'!AG267-'Model inputs'!AG248</f>
        <v>0</v>
      </c>
      <c r="AH360" s="14">
        <f>'Model inputs'!AH326-'Model inputs'!AH256-'Model inputs'!AH267-'Model inputs'!AH248</f>
        <v>0</v>
      </c>
      <c r="AI360" s="14">
        <f>'Model inputs'!AI326-'Model inputs'!AI256-'Model inputs'!AI267-'Model inputs'!AI248</f>
        <v>0</v>
      </c>
      <c r="AJ360" s="14">
        <f>'Model inputs'!AJ326-'Model inputs'!AJ256-'Model inputs'!AJ267-'Model inputs'!AJ248</f>
        <v>0</v>
      </c>
      <c r="AK360" s="14">
        <f>'Model inputs'!AK326-'Model inputs'!AK256-'Model inputs'!AK267-'Model inputs'!AK248</f>
        <v>0</v>
      </c>
    </row>
    <row r="361" outlineLevel="1">
      <c r="A361" t="inlineStr" s="24">
        <is>
          <t xml:space="preserve">Contribution &gt; Team</t>
        </is>
      </c>
      <c r="B361" s="14">
        <f>IF('Model inputs'!B30="","",'Model inputs'!B30)</f>
        <v>0</v>
      </c>
      <c r="C361" s="14">
        <f>IF('Model inputs'!C30="","",'Model inputs'!C30)</f>
        <v>0</v>
      </c>
      <c r="D361" s="14">
        <f>IF('Model inputs'!D30="","",'Model inputs'!D30)</f>
        <v>235.37579999999997</v>
      </c>
      <c r="E361" s="14">
        <f>IF('Model inputs'!E30="","",'Model inputs'!E30)</f>
        <v>484.87414800000005</v>
      </c>
      <c r="F361" s="14">
        <f>IF('Model inputs'!F30="","",'Model inputs'!F30)</f>
        <v>749.7189981600001</v>
      </c>
      <c r="G361" s="14">
        <f>IF('Model inputs'!G30="","",'Model inputs'!G30)</f>
        <v>1031.2303379664002</v>
      </c>
      <c r="H361" s="14">
        <f>IF('Model inputs'!H30="","",'Model inputs'!H30)</f>
        <v>1330.8319085582405</v>
      </c>
      <c r="I361" s="14">
        <f>IF('Model inputs'!I30="","",'Model inputs'!I30)</f>
        <v>1650.0595419263373</v>
      </c>
      <c r="J361" s="14">
        <f>IF('Model inputs'!J30="","",'Model inputs'!J30)</f>
        <v>1990.5701643502127</v>
      </c>
      <c r="K361" s="14">
        <f>IF('Model inputs'!K30="","",'Model inputs'!K30)</f>
        <v>2354.151519386603</v>
      </c>
      <c r="L361" s="14">
        <f>IF('Model inputs'!L30="","",'Model inputs'!L30)</f>
        <v>2742.732667988138</v>
      </c>
      <c r="M361" s="14">
        <f>IF('Model inputs'!M30="","",'Model inputs'!M30)</f>
        <v>3158.3953279367834</v>
      </c>
      <c r="N361" s="14">
        <f>IF('Model inputs'!N30="","",'Model inputs'!N30)</f>
        <v>3603.3861197511274</v>
      </c>
      <c r="O361" s="14">
        <f>IF('Model inputs'!O30="","",'Model inputs'!O30)</f>
        <v>4080.129791599033</v>
      </c>
      <c r="P361" s="14">
        <f>IF('Model inputs'!P30="","",'Model inputs'!P30)</f>
        <v>4591.243501549412</v>
      </c>
      <c r="Q361" s="14">
        <f>IF('Model inputs'!Q30="","",'Model inputs'!Q30)</f>
        <v>5139.552241763374</v>
      </c>
      <c r="R361" s="14">
        <f>IF('Model inputs'!R30="","",'Model inputs'!R30)</f>
        <v>5728.105495992652</v>
      </c>
      <c r="S361" s="14">
        <f>IF('Model inputs'!S30="","",'Model inputs'!S30)</f>
        <v>6360.195229062509</v>
      </c>
      <c r="T361" s="14">
        <f>IF('Model inputs'!T30="","",'Model inputs'!T30)</f>
        <v>7039.375314910146</v>
      </c>
      <c r="U361" s="14">
        <f>IF('Model inputs'!U30="","",'Model inputs'!U30)</f>
        <v>7769.482518275141</v>
      </c>
      <c r="V361" s="14">
        <f>IF('Model inputs'!V30="","",'Model inputs'!V30)</f>
        <v>8554.659154345893</v>
      </c>
      <c r="W361" s="14">
        <f>IF('Model inputs'!W30="","",'Model inputs'!W30)</f>
        <v>9399.377560610126</v>
      </c>
      <c r="X361" s="14">
        <f>IF('Model inputs'!X30="","",'Model inputs'!X30)</f>
        <v>10308.46652589717</v>
      </c>
      <c r="Y361" s="14">
        <f>IF('Model inputs'!Y30="","",'Model inputs'!Y30)</f>
        <v>11287.139833198413</v>
      </c>
      <c r="Z361" s="14">
        <f>IF('Model inputs'!Z30="","",'Model inputs'!Z30)</f>
        <v>12341.027085379168</v>
      </c>
      <c r="AA361" s="14">
        <f>IF('Model inputs'!AA30="","",'Model inputs'!AA30)</f>
        <v>13476.206996423882</v>
      </c>
      <c r="AD361" s="14">
        <f>'Model inputs'!AD327-'Model inputs'!AD257-'Model inputs'!AD268-'Model inputs'!AD249</f>
        <v>0</v>
      </c>
      <c r="AE361" s="14">
        <f>'Model inputs'!AE327-'Model inputs'!AE257-'Model inputs'!AE268-'Model inputs'!AE249</f>
        <v>0</v>
      </c>
      <c r="AF361" s="14">
        <f>'Model inputs'!AF327-'Model inputs'!AF257-'Model inputs'!AF268-'Model inputs'!AF249</f>
        <v>0</v>
      </c>
      <c r="AG361" s="14">
        <f>'Model inputs'!AG327-'Model inputs'!AG257-'Model inputs'!AG268-'Model inputs'!AG249</f>
        <v>0</v>
      </c>
      <c r="AH361" s="14">
        <f>'Model inputs'!AH327-'Model inputs'!AH257-'Model inputs'!AH268-'Model inputs'!AH249</f>
        <v>0</v>
      </c>
      <c r="AI361" s="14">
        <f>'Model inputs'!AI327-'Model inputs'!AI257-'Model inputs'!AI268-'Model inputs'!AI249</f>
        <v>0</v>
      </c>
      <c r="AJ361" s="14">
        <f>'Model inputs'!AJ327-'Model inputs'!AJ257-'Model inputs'!AJ268-'Model inputs'!AJ249</f>
        <v>0</v>
      </c>
      <c r="AK361" s="14">
        <f>'Model inputs'!AK327-'Model inputs'!AK257-'Model inputs'!AK268-'Model inputs'!AK249</f>
        <v>0</v>
      </c>
    </row>
    <row r="362">
      <c r="A362" t="inlineStr" s="23">
        <is>
          <t xml:space="preserve">Database cost per run · Estimated cost per completed run · Run delivery costs · Contribution · CheckoutGuard — Conservative · CheckoutGuard — Conservative · CheckoutGuard — Conservative · CheckoutGuard — Conservative</t>
        </is>
      </c>
      <c r="AB362" s="9">
        <f>'CheckoutGuard — Assumptions · C'!B12</f>
        <v>0.002</v>
      </c>
    </row>
    <row r="363">
      <c r="A363" t="inlineStr" s="23">
        <is>
          <t xml:space="preserve">Database cost per run · Estimated cost per completed run · Run delivery costs · Contribution · CheckoutGuard — Growth · CheckoutGuard — Growth · CheckoutGuard — Growth · CheckoutGuard — Growth</t>
        </is>
      </c>
      <c r="AB363" s="9">
        <f>'CheckoutGuard — Assumptions · C'!B12</f>
        <v>0.002</v>
      </c>
    </row>
    <row r="364">
      <c r="A364" t="inlineStr" s="23">
        <is>
          <t xml:space="preserve">Evidence cost per run · Estimated cost per completed run · Run delivery costs · Contribution · CheckoutGuard — Conservative · CheckoutGuard — Conservative · CheckoutGuard — Conservative · CheckoutGuard — Conservative</t>
        </is>
      </c>
      <c r="AB364" s="9">
        <f>'CheckoutGuard — Assumptions · C'!B13</f>
        <v>0.001</v>
      </c>
    </row>
    <row r="365">
      <c r="A365" t="inlineStr" s="23">
        <is>
          <t xml:space="preserve">Evidence cost per run · Estimated cost per completed run · Run delivery costs · Contribution · CheckoutGuard — Growth · CheckoutGuard — Growth · CheckoutGuard — Growth · CheckoutGuard — Growth</t>
        </is>
      </c>
      <c r="AB365" s="9">
        <f>'CheckoutGuard — Assumptions · C'!B13</f>
        <v>0.001</v>
      </c>
    </row>
    <row r="366">
      <c r="A366" t="inlineStr" s="23">
        <is>
          <t xml:space="preserve">Included runs</t>
        </is>
      </c>
      <c r="AB366" s="6">
        <v>0</v>
      </c>
    </row>
    <row r="367" outlineLevel="1">
      <c r="A367" t="inlineStr" s="24">
        <is>
          <t xml:space="preserve">Included runs &gt; Agency</t>
        </is>
      </c>
      <c r="AB367" s="9">
        <f>'CheckoutGuard — Business pl (2)'!C5</f>
        <v>2000</v>
      </c>
    </row>
    <row r="368" outlineLevel="1">
      <c r="A368" t="inlineStr" s="24">
        <is>
          <t xml:space="preserve">Included runs &gt; Developer</t>
        </is>
      </c>
      <c r="AB368" s="9">
        <f>'CheckoutGuard — Business pl (2)'!C6</f>
        <v>100</v>
      </c>
    </row>
    <row r="369" outlineLevel="1">
      <c r="A369" t="inlineStr" s="24">
        <is>
          <t xml:space="preserve">Included runs &gt; Team</t>
        </is>
      </c>
      <c r="AB369" s="9">
        <f>'CheckoutGuard — Business pl (2)'!C7</f>
        <v>500</v>
      </c>
    </row>
    <row r="370">
      <c r="A370" t="inlineStr" s="23">
        <is>
          <t xml:space="preserve">Included runs</t>
        </is>
      </c>
      <c r="AB370" s="6">
        <v>0</v>
      </c>
    </row>
    <row r="371" outlineLevel="1">
      <c r="A371" t="inlineStr" s="24">
        <is>
          <t xml:space="preserve">Included runs &gt; Agency</t>
        </is>
      </c>
      <c r="AB371" s="9">
        <f>'CheckoutGuard — Business pl (2)'!C5</f>
        <v>2000</v>
      </c>
    </row>
    <row r="372" outlineLevel="1">
      <c r="A372" t="inlineStr" s="24">
        <is>
          <t xml:space="preserve">Included runs &gt; Developer</t>
        </is>
      </c>
      <c r="AB372" s="9">
        <f>'CheckoutGuard — Business pl (2)'!C6</f>
        <v>100</v>
      </c>
    </row>
    <row r="373" outlineLevel="1">
      <c r="A373" t="inlineStr" s="24">
        <is>
          <t xml:space="preserve">Included runs &gt; Team</t>
        </is>
      </c>
      <c r="AB373" s="9">
        <f>'CheckoutGuard — Business pl (2)'!C7</f>
        <v>500</v>
      </c>
    </row>
    <row r="374">
      <c r="A374" t="inlineStr" s="23">
        <is>
          <t xml:space="preserve">Monthly qualified prospects</t>
        </is>
      </c>
      <c r="AB374" s="6">
        <v>0</v>
      </c>
    </row>
    <row r="375" outlineLevel="1">
      <c r="A375" t="inlineStr" s="24">
        <is>
          <t xml:space="preserve">Monthly qualified prospects &gt; Agency</t>
        </is>
      </c>
      <c r="AB375" s="9">
        <f>'CheckoutGuard — Assumptions · W'!F5</f>
        <v>5</v>
      </c>
    </row>
    <row r="376" outlineLevel="1">
      <c r="A376" t="inlineStr" s="24">
        <is>
          <t xml:space="preserve">Monthly qualified prospects &gt; Developer</t>
        </is>
      </c>
      <c r="AB376" s="9">
        <f>'CheckoutGuard — Assumptions · W'!F6</f>
        <v>40</v>
      </c>
    </row>
    <row r="377" outlineLevel="1">
      <c r="A377" t="inlineStr" s="24">
        <is>
          <t xml:space="preserve">Monthly qualified prospects &gt; Team</t>
        </is>
      </c>
      <c r="AB377" s="9">
        <f>'CheckoutGuard — Assumptions · W'!F7</f>
        <v>20</v>
      </c>
    </row>
    <row r="378">
      <c r="A378" t="inlineStr" s="23">
        <is>
          <t xml:space="preserve">Monthly qualified prospects</t>
        </is>
      </c>
      <c r="AB378" s="6">
        <v>0</v>
      </c>
    </row>
    <row r="379" outlineLevel="1">
      <c r="A379" t="inlineStr" s="24">
        <is>
          <t xml:space="preserve">Monthly qualified prospects &gt; Agency</t>
        </is>
      </c>
      <c r="AB379" s="9">
        <f>'CheckoutGuard — Assumptions · W'!F5</f>
        <v>5</v>
      </c>
    </row>
    <row r="380" outlineLevel="1">
      <c r="A380" t="inlineStr" s="24">
        <is>
          <t xml:space="preserve">Monthly qualified prospects &gt; Developer</t>
        </is>
      </c>
      <c r="AB380" s="9">
        <f>'CheckoutGuard — Assumptions · W'!F6</f>
        <v>40</v>
      </c>
    </row>
    <row r="381" outlineLevel="1">
      <c r="A381" t="inlineStr" s="24">
        <is>
          <t xml:space="preserve">Monthly qualified prospects &gt; Team</t>
        </is>
      </c>
      <c r="AB381" s="9">
        <f>'CheckoutGuard — Assumptions · W'!F7</f>
        <v>20</v>
      </c>
    </row>
    <row r="382">
      <c r="A382" t="inlineStr" s="23">
        <is>
          <t xml:space="preserve">Prospect monthly growth · Qualified prospects · CheckoutGuard — Conservative · CheckoutGuard — Conservative</t>
        </is>
      </c>
      <c r="AB382" s="18">
        <f>0</f>
        <v>0</v>
      </c>
    </row>
    <row r="383">
      <c r="A383" t="inlineStr" s="23">
        <is>
          <t xml:space="preserve">Prospect monthly growth · Qualified prospects · CheckoutGuard — Growth · CheckoutGuard — Growth</t>
        </is>
      </c>
      <c r="AB383" s="18">
        <f>0.08</f>
        <v>0.08</v>
      </c>
    </row>
    <row r="384">
      <c r="A384" t="inlineStr" s="23">
        <is>
          <t xml:space="preserve">Run utilization · Completed runs · Cumulative operating result · CheckoutGuard — Conservative · CheckoutGuard — Conservative · CheckoutGuard — Conservative</t>
        </is>
      </c>
      <c r="AB384" s="18">
        <f>'CheckoutGuard — Assumptions · C'!B17</f>
        <v>0.5</v>
      </c>
    </row>
    <row r="385">
      <c r="A385" t="inlineStr" s="23">
        <is>
          <t xml:space="preserve">Run utilization · Completed runs · Cumulative operating result · CheckoutGuard — Growth · CheckoutGuard — Growth · CheckoutGuard — Growth</t>
        </is>
      </c>
      <c r="AB385" s="18">
        <f>'CheckoutGuard — Assumptions · C'!B17</f>
        <v>0.5</v>
      </c>
    </row>
    <row r="386">
      <c r="A386" t="inlineStr" s="23">
        <is>
          <t xml:space="preserve">Support cost per run · Estimated cost per completed run · Run delivery costs · Contribution · CheckoutGuard — Conservative · CheckoutGuard — Conservative · CheckoutGuard — Conservative · CheckoutGuard — Conservative</t>
        </is>
      </c>
      <c r="AB386" s="10">
        <f>'Model inputs'!AB404/60*'Model inputs'!AB328</f>
        <v>0.01</v>
      </c>
    </row>
    <row r="387">
      <c r="A387" t="inlineStr" s="23">
        <is>
          <t xml:space="preserve">Support cost per run · Estimated cost per completed run · Run delivery costs · Contribution · CheckoutGuard — Growth · CheckoutGuard — Growth · CheckoutGuard — Growth · CheckoutGuard — Growth</t>
        </is>
      </c>
      <c r="AB387" s="10">
        <f>'Model inputs'!AB405/60*'Model inputs'!AB329</f>
        <v>0.01</v>
      </c>
    </row>
    <row r="388">
      <c r="A388" t="inlineStr" s="23">
        <is>
          <t xml:space="preserve">Telemetry cost per run · Estimated cost per completed run · Run delivery costs · Contribution · CheckoutGuard — Conservative · CheckoutGuard — Conservative · CheckoutGuard — Conservative · CheckoutGuard — Conservative</t>
        </is>
      </c>
      <c r="AB388" s="9">
        <f>'CheckoutGuard — Assumptions · C'!B14</f>
        <v>0.0005</v>
      </c>
    </row>
    <row r="389">
      <c r="A389" t="inlineStr" s="23">
        <is>
          <t xml:space="preserve">Telemetry cost per run · Estimated cost per completed run · Run delivery costs · Contribution · CheckoutGuard — Growth · CheckoutGuard — Growth · CheckoutGuard — Growth · CheckoutGuard — Growth</t>
        </is>
      </c>
      <c r="AB389" s="9">
        <f>'CheckoutGuard — Assumptions · C'!B14</f>
        <v>0.0005</v>
      </c>
    </row>
    <row r="390">
      <c r="A390" t="inlineStr" s="23">
        <is>
          <t xml:space="preserve">Browser cost per hour · Estimated cost per completed run · Run delivery costs · Contribution · CheckoutGuard — Conservative · CheckoutGuard — Conservative · CheckoutGuard — Conservative · CheckoutGuard — Conservative</t>
        </is>
      </c>
      <c r="AB390" s="9">
        <f>'CheckoutGuard — Assumptions · C'!B11</f>
        <v>0.12</v>
      </c>
    </row>
    <row r="391">
      <c r="A391" t="inlineStr" s="23">
        <is>
          <t xml:space="preserve">Browser cost per hour · Estimated cost per completed run · Run delivery costs · Contribution · CheckoutGuard — Growth · CheckoutGuard — Growth · CheckoutGuard — Growth · CheckoutGuard — Growth</t>
        </is>
      </c>
      <c r="AB391" s="9">
        <f>'CheckoutGuard — Assumptions · C'!B11</f>
        <v>0.12</v>
      </c>
    </row>
    <row r="392">
      <c r="A392" t="inlineStr" s="23">
        <is>
          <t xml:space="preserve">Browser seconds per attempt · Estimated cost per completed run · Run delivery costs · Contribution · CheckoutGuard — Conservative · CheckoutGuard — Conservative · CheckoutGuard — Conservative · CheckoutGuard — Conservative</t>
        </is>
      </c>
      <c r="AB392" s="9">
        <f>'CheckoutGuard — Assumptions · C'!B10</f>
        <v>45</v>
      </c>
    </row>
    <row r="393">
      <c r="A393" t="inlineStr" s="23">
        <is>
          <t xml:space="preserve">Browser seconds per attempt · Estimated cost per completed run · Run delivery costs · Contribution · CheckoutGuard — Growth · CheckoutGuard — Growth · CheckoutGuard — Growth · CheckoutGuard — Growth</t>
        </is>
      </c>
      <c r="AB393" s="9">
        <f>'CheckoutGuard — Assumptions · C'!B10</f>
        <v>45</v>
      </c>
    </row>
    <row r="394">
      <c r="A394" t="inlineStr" s="23">
        <is>
          <t xml:space="preserve">Extra attempt ratio · Estimated cost per completed run · Run delivery costs · Contribution · CheckoutGuard — Conservative · CheckoutGuard — Conservative · CheckoutGuard — Conservative · CheckoutGuard — Conservative</t>
        </is>
      </c>
      <c r="AB394" s="9">
        <f>'CheckoutGuard — Assumptions · C'!B8</f>
        <v>0.2</v>
      </c>
    </row>
    <row r="395">
      <c r="A395" t="inlineStr" s="23">
        <is>
          <t xml:space="preserve">Extra attempt ratio · Estimated cost per completed run · Run delivery costs · Contribution · CheckoutGuard — Growth · CheckoutGuard — Growth · CheckoutGuard — Growth · CheckoutGuard — Growth</t>
        </is>
      </c>
      <c r="AB395" s="9">
        <f>'CheckoutGuard — Assumptions · C'!B8</f>
        <v>0.2</v>
      </c>
    </row>
    <row r="396">
      <c r="A396" t="inlineStr" s="23">
        <is>
          <t xml:space="preserve">Known token estimate per run · Estimated cost per completed run · Run delivery costs · Contribution · CheckoutGuard — Conservative · CheckoutGuard — Conservative · CheckoutGuard — Conservative · CheckoutGuard — Conservative</t>
        </is>
      </c>
      <c r="AB396" s="10">
        <f>('Model inputs'!AB414*'Model inputs'!AB412+'Model inputs'!AB416*'Model inputs'!AB418)/1000000</f>
        <v>0.0031546666666666667</v>
      </c>
    </row>
    <row r="397">
      <c r="A397" t="inlineStr" s="23">
        <is>
          <t xml:space="preserve">Known token estimate per run · Estimated cost per completed run · Run delivery costs · Contribution · CheckoutGuard — Growth · CheckoutGuard — Growth · CheckoutGuard — Growth · CheckoutGuard — Growth</t>
        </is>
      </c>
      <c r="AB397" s="10">
        <f>('Model inputs'!AB415*'Model inputs'!AB413+'Model inputs'!AB417*'Model inputs'!AB419)/1000000</f>
        <v>0.0031546666666666667</v>
      </c>
    </row>
    <row r="398">
      <c r="A398" t="inlineStr" s="23">
        <is>
          <t xml:space="preserve">Provider cost multiplier · Estimated cost per completed run · Run delivery costs · Contribution · CheckoutGuard — Conservative · CheckoutGuard — Conservative · CheckoutGuard — Conservative · CheckoutGuard — Conservative</t>
        </is>
      </c>
      <c r="AB398" s="9">
        <f>'CheckoutGuard — Assumptions · C'!B7</f>
        <v>1</v>
      </c>
    </row>
    <row r="399">
      <c r="A399" t="inlineStr" s="23">
        <is>
          <t xml:space="preserve">Provider cost multiplier · Estimated cost per completed run · Run delivery costs · Contribution · CheckoutGuard — Growth · CheckoutGuard — Growth · CheckoutGuard — Growth · CheckoutGuard — Growth</t>
        </is>
      </c>
      <c r="AB399" s="9">
        <f>'CheckoutGuard — Assumptions · C'!B7</f>
        <v>1</v>
      </c>
    </row>
    <row r="400">
      <c r="A400" t="inlineStr" s="23">
        <is>
          <t xml:space="preserve">Run delivery costs</t>
        </is>
      </c>
      <c r="B400" s="11">
        <f>IF('Model inputs'!B156="","",'Model inputs'!B156)</f>
        <v>0</v>
      </c>
      <c r="C400" s="11">
        <f>IF('Model inputs'!C156="","",'Model inputs'!C156)</f>
        <v>0</v>
      </c>
      <c r="D400" s="11">
        <f>IF('Model inputs'!D156="","",'Model inputs'!D156)</f>
        <v>20.99416</v>
      </c>
      <c r="E400" s="11">
        <f>IF('Model inputs'!E156="","",'Model inputs'!E156)</f>
        <v>42.4082032</v>
      </c>
      <c r="F400" s="11">
        <f>IF('Model inputs'!F156="","",'Model inputs'!F156)</f>
        <v>64.282018504</v>
      </c>
      <c r="G400" s="11">
        <f>IF('Model inputs'!G156="","",'Model inputs'!G156)</f>
        <v>86.65692241887999</v>
      </c>
      <c r="H400" s="11">
        <f>IF('Model inputs'!H156="","",'Model inputs'!H156)</f>
        <v>109.57574743981363</v>
      </c>
      <c r="I400" s="11">
        <f>IF('Model inputs'!I156="","",'Model inputs'!I156)</f>
        <v>133.0829343447942</v>
      </c>
      <c r="J400" s="11">
        <f>IF('Model inputs'!J156="","",'Model inputs'!J156)</f>
        <v>157.22462860903417</v>
      </c>
      <c r="K400" s="11">
        <f>IF('Model inputs'!K156="","",'Model inputs'!K156)</f>
        <v>182.0487811600761</v>
      </c>
      <c r="L400" s="11">
        <f>IF('Model inputs'!L156="","",'Model inputs'!L156)</f>
        <v>207.6052537050524</v>
      </c>
      <c r="M400" s="11">
        <f>IF('Model inputs'!M156="","",'Model inputs'!M156)</f>
        <v>233.9459288726684</v>
      </c>
      <c r="N400" s="11">
        <f>IF('Model inputs'!N156="","",'Model inputs'!N156)</f>
        <v>261.1248254241943</v>
      </c>
      <c r="O400" s="11">
        <f>IF('Model inputs'!O156="","",'Model inputs'!O156)</f>
        <v>289.19821880005964</v>
      </c>
      <c r="P400" s="11">
        <f>IF('Model inputs'!P156="","",'Model inputs'!P156)</f>
        <v>318.2247672815786</v>
      </c>
      <c r="Q400" s="11">
        <f>IF('Model inputs'!Q156="","",'Model inputs'!Q156)</f>
        <v>348.265644060928</v>
      </c>
      <c r="R400" s="11">
        <f>IF('Model inputs'!R156="","",'Model inputs'!R156)</f>
        <v>379.38467552678696</v>
      </c>
      <c r="S400" s="11">
        <f>IF('Model inputs'!S156="","",'Model inputs'!S156)</f>
        <v>411.64848608805426</v>
      </c>
      <c r="T400" s="11">
        <f>IF('Model inputs'!T156="","",'Model inputs'!T156)</f>
        <v>445.1266498738373</v>
      </c>
      <c r="U400" s="11">
        <f>IF('Model inputs'!U156="","",'Model inputs'!U156)</f>
        <v>479.8918496644679</v>
      </c>
      <c r="V400" s="11">
        <f>IF('Model inputs'!V156="","",'Model inputs'!V156)</f>
        <v>516.020043425722</v>
      </c>
      <c r="W400" s="11">
        <f>IF('Model inputs'!W156="","",'Model inputs'!W156)</f>
        <v>553.5906388366977</v>
      </c>
      <c r="X400" s="11">
        <f>IF('Model inputs'!X156="","",'Model inputs'!X156)</f>
        <v>592.6866762210316</v>
      </c>
      <c r="Y400" s="11">
        <f>IF('Model inputs'!Y156="","",'Model inputs'!Y156)</f>
        <v>633.3950203113072</v>
      </c>
      <c r="Z400" s="11">
        <f>IF('Model inputs'!Z156="","",'Model inputs'!Z156)</f>
        <v>675.8065612977199</v>
      </c>
      <c r="AA400" s="11">
        <f>IF('Model inputs'!AA156="","",'Model inputs'!AA156)</f>
        <v>720.0164256343278</v>
      </c>
      <c r="AD400" s="11">
        <f>SUM('Model inputs'!AD401,'Model inputs'!AD402,'Model inputs'!AD403)</f>
        <v>0</v>
      </c>
      <c r="AE400" s="11">
        <f>SUM('Model inputs'!AE401,'Model inputs'!AE402,'Model inputs'!AE403)</f>
        <v>0</v>
      </c>
      <c r="AF400" s="11">
        <f>SUM('Model inputs'!AF401,'Model inputs'!AF402,'Model inputs'!AF403)</f>
        <v>0</v>
      </c>
      <c r="AG400" s="11">
        <f>SUM('Model inputs'!AG401,'Model inputs'!AG402,'Model inputs'!AG403)</f>
        <v>0</v>
      </c>
      <c r="AH400" s="11">
        <f>SUM('Model inputs'!AH401,'Model inputs'!AH402,'Model inputs'!AH403)</f>
        <v>0</v>
      </c>
      <c r="AI400" s="11">
        <f>SUM('Model inputs'!AI401,'Model inputs'!AI402,'Model inputs'!AI403)</f>
        <v>0</v>
      </c>
      <c r="AJ400" s="11">
        <f>SUM('Model inputs'!AJ401,'Model inputs'!AJ402,'Model inputs'!AJ403)</f>
        <v>0</v>
      </c>
      <c r="AK400" s="11">
        <f>SUM('Model inputs'!AK401,'Model inputs'!AK402,'Model inputs'!AK403)</f>
        <v>0</v>
      </c>
    </row>
    <row r="401" outlineLevel="1">
      <c r="A401" t="inlineStr" s="24">
        <is>
          <t xml:space="preserve">Run delivery costs &gt; Agency</t>
        </is>
      </c>
      <c r="B401" s="14">
        <f>IF('Model inputs'!B157="","",'Model inputs'!B157)</f>
        <v>0</v>
      </c>
      <c r="C401" s="14">
        <f>IF('Model inputs'!C157="","",'Model inputs'!C157)</f>
        <v>0</v>
      </c>
      <c r="D401" s="14">
        <f>IF('Model inputs'!D157="","",'Model inputs'!D157)</f>
        <v>9.5428</v>
      </c>
      <c r="E401" s="14">
        <f>IF('Model inputs'!E157="","",'Model inputs'!E157)</f>
        <v>19.276456</v>
      </c>
      <c r="F401" s="14">
        <f>IF('Model inputs'!F157="","",'Model inputs'!F157)</f>
        <v>29.21909932</v>
      </c>
      <c r="G401" s="14">
        <f>IF('Model inputs'!G157="","",'Model inputs'!G157)</f>
        <v>39.389510190399996</v>
      </c>
      <c r="H401" s="14">
        <f>IF('Model inputs'!H157="","",'Model inputs'!H157)</f>
        <v>49.807157927188015</v>
      </c>
      <c r="I401" s="14">
        <f>IF('Model inputs'!I157="","",'Model inputs'!I157)</f>
        <v>60.49224288399737</v>
      </c>
      <c r="J401" s="14">
        <f>IF('Model inputs'!J157="","",'Model inputs'!J157)</f>
        <v>71.46574027683371</v>
      </c>
      <c r="K401" s="14">
        <f>IF('Model inputs'!K157="","",'Model inputs'!K157)</f>
        <v>82.74944598185277</v>
      </c>
      <c r="L401" s="14">
        <f>IF('Model inputs'!L157="","",'Model inputs'!L157)</f>
        <v>94.36602441138746</v>
      </c>
      <c r="M401" s="14">
        <f>IF('Model inputs'!M157="","",'Model inputs'!M157)</f>
        <v>106.33905857848563</v>
      </c>
      <c r="N401" s="14">
        <f>IF('Model inputs'!N157="","",'Model inputs'!N157)</f>
        <v>118.69310246554285</v>
      </c>
      <c r="O401" s="14">
        <f>IF('Model inputs'!O157="","",'Model inputs'!O157)</f>
        <v>131.45373581820894</v>
      </c>
      <c r="P401" s="14">
        <f>IF('Model inputs'!P157="","",'Model inputs'!P157)</f>
        <v>144.64762149162664</v>
      </c>
      <c r="Q401" s="14">
        <f>IF('Model inputs'!Q157="","",'Model inputs'!Q157)</f>
        <v>158.30256548224003</v>
      </c>
      <c r="R401" s="14">
        <f>IF('Model inputs'!R157="","",'Model inputs'!R157)</f>
        <v>172.44757978490316</v>
      </c>
      <c r="S401" s="14">
        <f>IF('Model inputs'!S157="","",'Model inputs'!S157)</f>
        <v>187.11294822184286</v>
      </c>
      <c r="T401" s="14">
        <f>IF('Model inputs'!T157="","",'Model inputs'!T157)</f>
        <v>202.33029539719877</v>
      </c>
      <c r="U401" s="14">
        <f>IF('Model inputs'!U157="","",'Model inputs'!U157)</f>
        <v>218.13265893839448</v>
      </c>
      <c r="V401" s="14">
        <f>IF('Model inputs'!V157="","",'Model inputs'!V157)</f>
        <v>234.55456519350994</v>
      </c>
      <c r="W401" s="14">
        <f>IF('Model inputs'!W157="","",'Model inputs'!W157)</f>
        <v>251.6321085621353</v>
      </c>
      <c r="X401" s="14">
        <f>IF('Model inputs'!X157="","",'Model inputs'!X157)</f>
        <v>269.40303464592347</v>
      </c>
      <c r="Y401" s="14">
        <f>IF('Model inputs'!Y157="","",'Model inputs'!Y157)</f>
        <v>287.9068274142306</v>
      </c>
      <c r="Z401" s="14">
        <f>IF('Model inputs'!Z157="","",'Model inputs'!Z157)</f>
        <v>307.1848005898727</v>
      </c>
      <c r="AA401" s="14">
        <f>IF('Model inputs'!AA157="","",'Model inputs'!AA157)</f>
        <v>327.280193470149</v>
      </c>
      <c r="AD401" s="14">
        <f>'Model inputs'!AD185*'Model inputs'!AC34</f>
        <v>0</v>
      </c>
      <c r="AE401" s="14">
        <f>'Model inputs'!AE185*'Model inputs'!AC34</f>
        <v>0</v>
      </c>
      <c r="AF401" s="14">
        <f>'Model inputs'!AF185*'Model inputs'!AC34</f>
        <v>0</v>
      </c>
      <c r="AG401" s="14">
        <f>'Model inputs'!AG185*'Model inputs'!AC34</f>
        <v>0</v>
      </c>
      <c r="AH401" s="14">
        <f>'Model inputs'!AH185*'Model inputs'!AC34</f>
        <v>0</v>
      </c>
      <c r="AI401" s="14">
        <f>'Model inputs'!AI185*'Model inputs'!AC34</f>
        <v>0</v>
      </c>
      <c r="AJ401" s="14">
        <f>'Model inputs'!AJ185*'Model inputs'!AC34</f>
        <v>0</v>
      </c>
      <c r="AK401" s="14">
        <f>'Model inputs'!AK185*'Model inputs'!AC34</f>
        <v>0</v>
      </c>
    </row>
    <row r="402" outlineLevel="1">
      <c r="A402" t="inlineStr" s="24">
        <is>
          <t xml:space="preserve">Run delivery costs &gt; Developer</t>
        </is>
      </c>
      <c r="B402" s="14">
        <f>IF('Model inputs'!B158="","",'Model inputs'!B158)</f>
        <v>0</v>
      </c>
      <c r="C402" s="14">
        <f>IF('Model inputs'!C158="","",'Model inputs'!C158)</f>
        <v>0</v>
      </c>
      <c r="D402" s="14">
        <f>IF('Model inputs'!D158="","",'Model inputs'!D158)</f>
        <v>1.90856</v>
      </c>
      <c r="E402" s="14">
        <f>IF('Model inputs'!E158="","",'Model inputs'!E158)</f>
        <v>3.8552912000000004</v>
      </c>
      <c r="F402" s="14">
        <f>IF('Model inputs'!F158="","",'Model inputs'!F158)</f>
        <v>5.843819864</v>
      </c>
      <c r="G402" s="14">
        <f>IF('Model inputs'!G158="","",'Model inputs'!G158)</f>
        <v>7.87790203808</v>
      </c>
      <c r="H402" s="14">
        <f>IF('Model inputs'!H158="","",'Model inputs'!H158)</f>
        <v>9.961431585437602</v>
      </c>
      <c r="I402" s="14">
        <f>IF('Model inputs'!I158="","",'Model inputs'!I158)</f>
        <v>12.098448576799475</v>
      </c>
      <c r="J402" s="14">
        <f>IF('Model inputs'!J158="","",'Model inputs'!J158)</f>
        <v>14.293148055366743</v>
      </c>
      <c r="K402" s="14">
        <f>IF('Model inputs'!K158="","",'Model inputs'!K158)</f>
        <v>16.549889196370557</v>
      </c>
      <c r="L402" s="14">
        <f>IF('Model inputs'!L158="","",'Model inputs'!L158)</f>
        <v>18.87320488227749</v>
      </c>
      <c r="M402" s="14">
        <f>IF('Model inputs'!M158="","",'Model inputs'!M158)</f>
        <v>21.267811715697125</v>
      </c>
      <c r="N402" s="14">
        <f>IF('Model inputs'!N158="","",'Model inputs'!N158)</f>
        <v>23.73862049310857</v>
      </c>
      <c r="O402" s="14">
        <f>IF('Model inputs'!O158="","",'Model inputs'!O158)</f>
        <v>26.290747163641786</v>
      </c>
      <c r="P402" s="14">
        <f>IF('Model inputs'!P158="","",'Model inputs'!P158)</f>
        <v>28.929524298325333</v>
      </c>
      <c r="Q402" s="14">
        <f>IF('Model inputs'!Q158="","",'Model inputs'!Q158)</f>
        <v>31.660513096448003</v>
      </c>
      <c r="R402" s="14">
        <f>IF('Model inputs'!R158="","",'Model inputs'!R158)</f>
        <v>34.489515956980625</v>
      </c>
      <c r="S402" s="14">
        <f>IF('Model inputs'!S158="","",'Model inputs'!S158)</f>
        <v>37.42258964436857</v>
      </c>
      <c r="T402" s="14">
        <f>IF('Model inputs'!T158="","",'Model inputs'!T158)</f>
        <v>40.46605907943975</v>
      </c>
      <c r="U402" s="14">
        <f>IF('Model inputs'!U158="","",'Model inputs'!U158)</f>
        <v>43.62653178767891</v>
      </c>
      <c r="V402" s="14">
        <f>IF('Model inputs'!V158="","",'Model inputs'!V158)</f>
        <v>46.91091303870199</v>
      </c>
      <c r="W402" s="14">
        <f>IF('Model inputs'!W158="","",'Model inputs'!W158)</f>
        <v>50.32642171242707</v>
      </c>
      <c r="X402" s="14">
        <f>IF('Model inputs'!X158="","",'Model inputs'!X158)</f>
        <v>53.880606929184694</v>
      </c>
      <c r="Y402" s="14">
        <f>IF('Model inputs'!Y158="","",'Model inputs'!Y158)</f>
        <v>57.58136548284612</v>
      </c>
      <c r="Z402" s="14">
        <f>IF('Model inputs'!Z158="","",'Model inputs'!Z158)</f>
        <v>61.43696011797454</v>
      </c>
      <c r="AA402" s="14">
        <f>IF('Model inputs'!AA158="","",'Model inputs'!AA158)</f>
        <v>65.4560386940298</v>
      </c>
      <c r="AD402" s="14">
        <f>'Model inputs'!AD186*'Model inputs'!AC34</f>
        <v>0</v>
      </c>
      <c r="AE402" s="14">
        <f>'Model inputs'!AE186*'Model inputs'!AC34</f>
        <v>0</v>
      </c>
      <c r="AF402" s="14">
        <f>'Model inputs'!AF186*'Model inputs'!AC34</f>
        <v>0</v>
      </c>
      <c r="AG402" s="14">
        <f>'Model inputs'!AG186*'Model inputs'!AC34</f>
        <v>0</v>
      </c>
      <c r="AH402" s="14">
        <f>'Model inputs'!AH186*'Model inputs'!AC34</f>
        <v>0</v>
      </c>
      <c r="AI402" s="14">
        <f>'Model inputs'!AI186*'Model inputs'!AC34</f>
        <v>0</v>
      </c>
      <c r="AJ402" s="14">
        <f>'Model inputs'!AJ186*'Model inputs'!AC34</f>
        <v>0</v>
      </c>
      <c r="AK402" s="14">
        <f>'Model inputs'!AK186*'Model inputs'!AC34</f>
        <v>0</v>
      </c>
    </row>
    <row r="403" outlineLevel="1">
      <c r="A403" t="inlineStr" s="24">
        <is>
          <t xml:space="preserve">Run delivery costs &gt; Team</t>
        </is>
      </c>
      <c r="B403" s="14">
        <f>IF('Model inputs'!B159="","",'Model inputs'!B159)</f>
        <v>0</v>
      </c>
      <c r="C403" s="14">
        <f>IF('Model inputs'!C159="","",'Model inputs'!C159)</f>
        <v>0</v>
      </c>
      <c r="D403" s="14">
        <f>IF('Model inputs'!D159="","",'Model inputs'!D159)</f>
        <v>9.5428</v>
      </c>
      <c r="E403" s="14">
        <f>IF('Model inputs'!E159="","",'Model inputs'!E159)</f>
        <v>19.276456</v>
      </c>
      <c r="F403" s="14">
        <f>IF('Model inputs'!F159="","",'Model inputs'!F159)</f>
        <v>29.21909932</v>
      </c>
      <c r="G403" s="14">
        <f>IF('Model inputs'!G159="","",'Model inputs'!G159)</f>
        <v>39.389510190399996</v>
      </c>
      <c r="H403" s="14">
        <f>IF('Model inputs'!H159="","",'Model inputs'!H159)</f>
        <v>49.807157927188015</v>
      </c>
      <c r="I403" s="14">
        <f>IF('Model inputs'!I159="","",'Model inputs'!I159)</f>
        <v>60.49224288399737</v>
      </c>
      <c r="J403" s="14">
        <f>IF('Model inputs'!J159="","",'Model inputs'!J159)</f>
        <v>71.46574027683371</v>
      </c>
      <c r="K403" s="14">
        <f>IF('Model inputs'!K159="","",'Model inputs'!K159)</f>
        <v>82.74944598185277</v>
      </c>
      <c r="L403" s="14">
        <f>IF('Model inputs'!L159="","",'Model inputs'!L159)</f>
        <v>94.36602441138746</v>
      </c>
      <c r="M403" s="14">
        <f>IF('Model inputs'!M159="","",'Model inputs'!M159)</f>
        <v>106.33905857848563</v>
      </c>
      <c r="N403" s="14">
        <f>IF('Model inputs'!N159="","",'Model inputs'!N159)</f>
        <v>118.69310246554285</v>
      </c>
      <c r="O403" s="14">
        <f>IF('Model inputs'!O159="","",'Model inputs'!O159)</f>
        <v>131.45373581820894</v>
      </c>
      <c r="P403" s="14">
        <f>IF('Model inputs'!P159="","",'Model inputs'!P159)</f>
        <v>144.64762149162664</v>
      </c>
      <c r="Q403" s="14">
        <f>IF('Model inputs'!Q159="","",'Model inputs'!Q159)</f>
        <v>158.30256548224003</v>
      </c>
      <c r="R403" s="14">
        <f>IF('Model inputs'!R159="","",'Model inputs'!R159)</f>
        <v>172.44757978490316</v>
      </c>
      <c r="S403" s="14">
        <f>IF('Model inputs'!S159="","",'Model inputs'!S159)</f>
        <v>187.11294822184286</v>
      </c>
      <c r="T403" s="14">
        <f>IF('Model inputs'!T159="","",'Model inputs'!T159)</f>
        <v>202.33029539719877</v>
      </c>
      <c r="U403" s="14">
        <f>IF('Model inputs'!U159="","",'Model inputs'!U159)</f>
        <v>218.13265893839448</v>
      </c>
      <c r="V403" s="14">
        <f>IF('Model inputs'!V159="","",'Model inputs'!V159)</f>
        <v>234.55456519350994</v>
      </c>
      <c r="W403" s="14">
        <f>IF('Model inputs'!W159="","",'Model inputs'!W159)</f>
        <v>251.6321085621353</v>
      </c>
      <c r="X403" s="14">
        <f>IF('Model inputs'!X159="","",'Model inputs'!X159)</f>
        <v>269.40303464592347</v>
      </c>
      <c r="Y403" s="14">
        <f>IF('Model inputs'!Y159="","",'Model inputs'!Y159)</f>
        <v>287.9068274142306</v>
      </c>
      <c r="Z403" s="14">
        <f>IF('Model inputs'!Z159="","",'Model inputs'!Z159)</f>
        <v>307.1848005898727</v>
      </c>
      <c r="AA403" s="14">
        <f>IF('Model inputs'!AA159="","",'Model inputs'!AA159)</f>
        <v>327.280193470149</v>
      </c>
      <c r="AD403" s="14">
        <f>'Model inputs'!AD187*'Model inputs'!AC34</f>
        <v>0</v>
      </c>
      <c r="AE403" s="14">
        <f>'Model inputs'!AE187*'Model inputs'!AC34</f>
        <v>0</v>
      </c>
      <c r="AF403" s="14">
        <f>'Model inputs'!AF187*'Model inputs'!AC34</f>
        <v>0</v>
      </c>
      <c r="AG403" s="14">
        <f>'Model inputs'!AG187*'Model inputs'!AC34</f>
        <v>0</v>
      </c>
      <c r="AH403" s="14">
        <f>'Model inputs'!AH187*'Model inputs'!AC34</f>
        <v>0</v>
      </c>
      <c r="AI403" s="14">
        <f>'Model inputs'!AI187*'Model inputs'!AC34</f>
        <v>0</v>
      </c>
      <c r="AJ403" s="14">
        <f>'Model inputs'!AJ187*'Model inputs'!AC34</f>
        <v>0</v>
      </c>
      <c r="AK403" s="14">
        <f>'Model inputs'!AK187*'Model inputs'!AC34</f>
        <v>0</v>
      </c>
    </row>
    <row r="404">
      <c r="A404" t="inlineStr" s="23">
        <is>
          <t xml:space="preserve">Support minutes per run · Estimated cost per completed run · Run delivery costs · Contribution · CheckoutGuard — Conservative · CheckoutGuard — Conservative · CheckoutGuard — Conservative · CheckoutGuard — Conservative</t>
        </is>
      </c>
      <c r="AB404" s="9">
        <f>'CheckoutGuard — Assumptions · C'!B15</f>
        <v>0.02</v>
      </c>
    </row>
    <row r="405">
      <c r="A405" t="inlineStr" s="23">
        <is>
          <t xml:space="preserve">Support minutes per run · Estimated cost per completed run · Run delivery costs · Contribution · CheckoutGuard — Growth · CheckoutGuard — Growth · CheckoutGuard — Growth · CheckoutGuard — Growth</t>
        </is>
      </c>
      <c r="AB405" s="9">
        <f>'CheckoutGuard — Assumptions · C'!B15</f>
        <v>0.02</v>
      </c>
    </row>
    <row r="406">
      <c r="A406" t="inlineStr" s="23">
        <is>
          <t xml:space="preserve">Timeout token allowance ratio · Estimated cost per completed run · Run delivery costs · Contribution · CheckoutGuard — Conservative · CheckoutGuard — Conservative · CheckoutGuard — Conservative · CheckoutGuard — Conservative</t>
        </is>
      </c>
      <c r="AB406" s="9">
        <f>'CheckoutGuard — Assumptions · C'!B9</f>
        <v>1</v>
      </c>
    </row>
    <row r="407">
      <c r="A407" t="inlineStr" s="23">
        <is>
          <t xml:space="preserve">Timeout token allowance ratio · Estimated cost per completed run · Run delivery costs · Contribution · CheckoutGuard — Growth · CheckoutGuard — Growth · CheckoutGuard — Growth · CheckoutGuard — Growth</t>
        </is>
      </c>
      <c r="AB407" s="9">
        <f>'CheckoutGuard — Assumptions · C'!B9</f>
        <v>1</v>
      </c>
    </row>
    <row r="408">
      <c r="A408" t="inlineStr" s="23">
        <is>
          <t xml:space="preserve">Workspace support costs</t>
        </is>
      </c>
      <c r="B408" s="11">
        <f>IF('Model inputs'!B152="","",'Model inputs'!B152)</f>
        <v>0</v>
      </c>
      <c r="C408" s="11">
        <f>IF('Model inputs'!C152="","",'Model inputs'!C152)</f>
        <v>0</v>
      </c>
      <c r="D408" s="11">
        <f>IF('Model inputs'!D152="","",'Model inputs'!D152)</f>
        <v>50</v>
      </c>
      <c r="E408" s="11">
        <f>IF('Model inputs'!E152="","",'Model inputs'!E152)</f>
        <v>101</v>
      </c>
      <c r="F408" s="11">
        <f>IF('Model inputs'!F152="","",'Model inputs'!F152)</f>
        <v>153.095</v>
      </c>
      <c r="G408" s="11">
        <f>IF('Model inputs'!G152="","",'Model inputs'!G152)</f>
        <v>206.3834</v>
      </c>
      <c r="H408" s="11">
        <f>IF('Model inputs'!H152="","",'Model inputs'!H152)</f>
        <v>260.9672105</v>
      </c>
      <c r="I408" s="11">
        <f>IF('Model inputs'!I152="","",'Model inputs'!I152)</f>
        <v>316.95227231</v>
      </c>
      <c r="J408" s="11">
        <f>IF('Model inputs'!J152="","",'Model inputs'!J152)</f>
        <v>374.4484861719501</v>
      </c>
      <c r="K408" s="11">
        <f>IF('Model inputs'!K152="","",'Model inputs'!K152)</f>
        <v>433.5700527196042</v>
      </c>
      <c r="L408" s="11">
        <f>IF('Model inputs'!L152="","",'Model inputs'!L152)</f>
        <v>494.4357233274692</v>
      </c>
      <c r="M408" s="11">
        <f>IF('Model inputs'!M152="","",'Model inputs'!M152)</f>
        <v>557.1690624265709</v>
      </c>
      <c r="N408" s="11">
        <f>IF('Model inputs'!N152="","",'Model inputs'!N152)</f>
        <v>621.898721892646</v>
      </c>
      <c r="O408" s="11">
        <f>IF('Model inputs'!O152="","",'Model inputs'!O152)</f>
        <v>688.7587281416824</v>
      </c>
      <c r="P408" s="11">
        <f>IF('Model inputs'!P152="","",'Model inputs'!P152)</f>
        <v>757.8887825985385</v>
      </c>
      <c r="Q408" s="11">
        <f>IF('Model inputs'!Q152="","",'Model inputs'!Q152)</f>
        <v>829.434576236744</v>
      </c>
      <c r="R408" s="11">
        <f>IF('Model inputs'!R152="","",'Model inputs'!R152)</f>
        <v>903.5481189216116</v>
      </c>
      <c r="S408" s="11">
        <f>IF('Model inputs'!S152="","",'Model inputs'!S152)</f>
        <v>980.3880843245317</v>
      </c>
      <c r="T408" s="11">
        <f>IF('Model inputs'!T152="","",'Model inputs'!T152)</f>
        <v>1060.120171213893</v>
      </c>
      <c r="U408" s="11">
        <f>IF('Model inputs'!U152="","",'Model inputs'!U152)</f>
        <v>1142.917481967528</v>
      </c>
      <c r="V408" s="11">
        <f>IF('Model inputs'!V152="","",'Model inputs'!V152)</f>
        <v>1228.9609191930563</v>
      </c>
      <c r="W408" s="11">
        <f>IF('Model inputs'!W152="","",'Model inputs'!W152)</f>
        <v>1318.4396013860467</v>
      </c>
      <c r="X408" s="11">
        <f>IF('Model inputs'!X152="","",'Model inputs'!X152)</f>
        <v>1411.5512986016863</v>
      </c>
      <c r="Y408" s="11">
        <f>IF('Model inputs'!Y152="","",'Model inputs'!Y152)</f>
        <v>1508.502889163718</v>
      </c>
      <c r="Z408" s="11">
        <f>IF('Model inputs'!Z152="","",'Model inputs'!Z152)</f>
        <v>1609.5108384848927</v>
      </c>
      <c r="AA408" s="11">
        <f>IF('Model inputs'!AA152="","",'Model inputs'!AA152)</f>
        <v>1714.8017011262364</v>
      </c>
      <c r="AD408" s="11">
        <f>SUM('Model inputs'!AD409,'Model inputs'!AD410,'Model inputs'!AD411)</f>
        <v>0</v>
      </c>
      <c r="AE408" s="11">
        <f>SUM('Model inputs'!AE409,'Model inputs'!AE410,'Model inputs'!AE411)</f>
        <v>0</v>
      </c>
      <c r="AF408" s="11">
        <f>SUM('Model inputs'!AF409,'Model inputs'!AF410,'Model inputs'!AF411)</f>
        <v>0</v>
      </c>
      <c r="AG408" s="11">
        <f>SUM('Model inputs'!AG409,'Model inputs'!AG410,'Model inputs'!AG411)</f>
        <v>0</v>
      </c>
      <c r="AH408" s="11">
        <f>SUM('Model inputs'!AH409,'Model inputs'!AH410,'Model inputs'!AH411)</f>
        <v>0</v>
      </c>
      <c r="AI408" s="11">
        <f>SUM('Model inputs'!AI409,'Model inputs'!AI410,'Model inputs'!AI411)</f>
        <v>0</v>
      </c>
      <c r="AJ408" s="11">
        <f>SUM('Model inputs'!AJ409,'Model inputs'!AJ410,'Model inputs'!AJ411)</f>
        <v>0</v>
      </c>
      <c r="AK408" s="11">
        <f>SUM('Model inputs'!AK409,'Model inputs'!AK410,'Model inputs'!AK411)</f>
        <v>0</v>
      </c>
    </row>
    <row r="409" outlineLevel="1">
      <c r="A409" t="inlineStr" s="24">
        <is>
          <t xml:space="preserve">Workspace support costs &gt; Agency</t>
        </is>
      </c>
      <c r="B409" s="14">
        <f>IF('Model inputs'!B153="","",'Model inputs'!B153)</f>
        <v>0</v>
      </c>
      <c r="C409" s="14">
        <f>IF('Model inputs'!C153="","",'Model inputs'!C153)</f>
        <v>0</v>
      </c>
      <c r="D409" s="14">
        <f>IF('Model inputs'!D153="","",'Model inputs'!D153)</f>
        <v>15</v>
      </c>
      <c r="E409" s="14">
        <f>IF('Model inputs'!E153="","",'Model inputs'!E153)</f>
        <v>30.3</v>
      </c>
      <c r="F409" s="14">
        <f>IF('Model inputs'!F153="","",'Model inputs'!F153)</f>
        <v>45.9285</v>
      </c>
      <c r="G409" s="14">
        <f>IF('Model inputs'!G153="","",'Model inputs'!G153)</f>
        <v>61.91502</v>
      </c>
      <c r="H409" s="14">
        <f>IF('Model inputs'!H153="","",'Model inputs'!H153)</f>
        <v>78.29016315000001</v>
      </c>
      <c r="I409" s="14">
        <f>IF('Model inputs'!I153="","",'Model inputs'!I153)</f>
        <v>95.08568169300001</v>
      </c>
      <c r="J409" s="14">
        <f>IF('Model inputs'!J153="","",'Model inputs'!J153)</f>
        <v>112.33454585158503</v>
      </c>
      <c r="K409" s="14">
        <f>IF('Model inputs'!K153="","",'Model inputs'!K153)</f>
        <v>130.07101581588125</v>
      </c>
      <c r="L409" s="14">
        <f>IF('Model inputs'!L153="","",'Model inputs'!L153)</f>
        <v>148.33071699824077</v>
      </c>
      <c r="M409" s="14">
        <f>IF('Model inputs'!M153="","",'Model inputs'!M153)</f>
        <v>167.15071872797128</v>
      </c>
      <c r="N409" s="14">
        <f>IF('Model inputs'!N153="","",'Model inputs'!N153)</f>
        <v>186.5696165677938</v>
      </c>
      <c r="O409" s="14">
        <f>IF('Model inputs'!O153="","",'Model inputs'!O153)</f>
        <v>206.62761844250468</v>
      </c>
      <c r="P409" s="14">
        <f>IF('Model inputs'!P153="","",'Model inputs'!P153)</f>
        <v>227.36663477956148</v>
      </c>
      <c r="Q409" s="14">
        <f>IF('Model inputs'!Q153="","",'Model inputs'!Q153)</f>
        <v>248.8303728710232</v>
      </c>
      <c r="R409" s="14">
        <f>IF('Model inputs'!R153="","",'Model inputs'!R153)</f>
        <v>271.0644356764835</v>
      </c>
      <c r="S409" s="14">
        <f>IF('Model inputs'!S153="","",'Model inputs'!S153)</f>
        <v>294.11642529735957</v>
      </c>
      <c r="T409" s="14">
        <f>IF('Model inputs'!T153="","",'Model inputs'!T153)</f>
        <v>318.03605136416786</v>
      </c>
      <c r="U409" s="14">
        <f>IF('Model inputs'!U153="","",'Model inputs'!U153)</f>
        <v>342.8752445902584</v>
      </c>
      <c r="V409" s="14">
        <f>IF('Model inputs'!V153="","",'Model inputs'!V153)</f>
        <v>368.68827575791687</v>
      </c>
      <c r="W409" s="14">
        <f>IF('Model inputs'!W153="","",'Model inputs'!W153)</f>
        <v>395.531880415814</v>
      </c>
      <c r="X409" s="14">
        <f>IF('Model inputs'!X153="","",'Model inputs'!X153)</f>
        <v>423.4653895805059</v>
      </c>
      <c r="Y409" s="14">
        <f>IF('Model inputs'!Y153="","",'Model inputs'!Y153)</f>
        <v>452.55086674911536</v>
      </c>
      <c r="Z409" s="14">
        <f>IF('Model inputs'!Z153="","",'Model inputs'!Z153)</f>
        <v>482.85325154546786</v>
      </c>
      <c r="AA409" s="14">
        <f>IF('Model inputs'!AA153="","",'Model inputs'!AA153)</f>
        <v>514.4405103378709</v>
      </c>
      <c r="AD409" s="14">
        <f>'Model inputs'!AD173*'Model inputs'!AC99/60*'Model inputs'!AC96</f>
        <v>0</v>
      </c>
      <c r="AE409" s="14">
        <f>'Model inputs'!AE173*'Model inputs'!AC99/60*'Model inputs'!AC96</f>
        <v>0</v>
      </c>
      <c r="AF409" s="14">
        <f>'Model inputs'!AF173*'Model inputs'!AC99/60*'Model inputs'!AC96</f>
        <v>0</v>
      </c>
      <c r="AG409" s="14">
        <f>'Model inputs'!AG173*'Model inputs'!AC99/60*'Model inputs'!AC96</f>
        <v>0</v>
      </c>
      <c r="AH409" s="14">
        <f>'Model inputs'!AH173*'Model inputs'!AC99/60*'Model inputs'!AC96</f>
        <v>0</v>
      </c>
      <c r="AI409" s="14">
        <f>'Model inputs'!AI173*'Model inputs'!AC99/60*'Model inputs'!AC96</f>
        <v>0</v>
      </c>
      <c r="AJ409" s="14">
        <f>'Model inputs'!AJ173*'Model inputs'!AC99/60*'Model inputs'!AC96</f>
        <v>0</v>
      </c>
      <c r="AK409" s="14">
        <f>'Model inputs'!AK173*'Model inputs'!AC99/60*'Model inputs'!AC96</f>
        <v>0</v>
      </c>
    </row>
    <row r="410" outlineLevel="1">
      <c r="A410" t="inlineStr" s="24">
        <is>
          <t xml:space="preserve">Workspace support costs &gt; Developer</t>
        </is>
      </c>
      <c r="B410" s="14">
        <f>IF('Model inputs'!B154="","",'Model inputs'!B154)</f>
        <v>0</v>
      </c>
      <c r="C410" s="14">
        <f>IF('Model inputs'!C154="","",'Model inputs'!C154)</f>
        <v>0</v>
      </c>
      <c r="D410" s="14">
        <f>IF('Model inputs'!D154="","",'Model inputs'!D154)</f>
        <v>10</v>
      </c>
      <c r="E410" s="14">
        <f>IF('Model inputs'!E154="","",'Model inputs'!E154)</f>
        <v>20.2</v>
      </c>
      <c r="F410" s="14">
        <f>IF('Model inputs'!F154="","",'Model inputs'!F154)</f>
        <v>30.619</v>
      </c>
      <c r="G410" s="14">
        <f>IF('Model inputs'!G154="","",'Model inputs'!G154)</f>
        <v>41.27668</v>
      </c>
      <c r="H410" s="14">
        <f>IF('Model inputs'!H154="","",'Model inputs'!H154)</f>
        <v>52.19344210000001</v>
      </c>
      <c r="I410" s="14">
        <f>IF('Model inputs'!I154="","",'Model inputs'!I154)</f>
        <v>63.39045446200001</v>
      </c>
      <c r="J410" s="14">
        <f>IF('Model inputs'!J154="","",'Model inputs'!J154)</f>
        <v>74.88969723439001</v>
      </c>
      <c r="K410" s="14">
        <f>IF('Model inputs'!K154="","",'Model inputs'!K154)</f>
        <v>86.71401054392084</v>
      </c>
      <c r="L410" s="14">
        <f>IF('Model inputs'!L154="","",'Model inputs'!L154)</f>
        <v>98.88714466549385</v>
      </c>
      <c r="M410" s="14">
        <f>IF('Model inputs'!M154="","",'Model inputs'!M154)</f>
        <v>111.43381248531419</v>
      </c>
      <c r="N410" s="14">
        <f>IF('Model inputs'!N154="","",'Model inputs'!N154)</f>
        <v>124.37974437852918</v>
      </c>
      <c r="O410" s="14">
        <f>IF('Model inputs'!O154="","",'Model inputs'!O154)</f>
        <v>137.75174562833647</v>
      </c>
      <c r="P410" s="14">
        <f>IF('Model inputs'!P154="","",'Model inputs'!P154)</f>
        <v>151.5777565197077</v>
      </c>
      <c r="Q410" s="14">
        <f>IF('Model inputs'!Q154="","",'Model inputs'!Q154)</f>
        <v>165.8869152473488</v>
      </c>
      <c r="R410" s="14">
        <f>IF('Model inputs'!R154="","",'Model inputs'!R154)</f>
        <v>180.70962378432233</v>
      </c>
      <c r="S410" s="14">
        <f>IF('Model inputs'!S154="","",'Model inputs'!S154)</f>
        <v>196.07761686490636</v>
      </c>
      <c r="T410" s="14">
        <f>IF('Model inputs'!T154="","",'Model inputs'!T154)</f>
        <v>212.02403424277858</v>
      </c>
      <c r="U410" s="14">
        <f>IF('Model inputs'!U154="","",'Model inputs'!U154)</f>
        <v>228.58349639350558</v>
      </c>
      <c r="V410" s="14">
        <f>IF('Model inputs'!V154="","",'Model inputs'!V154)</f>
        <v>245.79218383861127</v>
      </c>
      <c r="W410" s="14">
        <f>IF('Model inputs'!W154="","",'Model inputs'!W154)</f>
        <v>263.68792027720934</v>
      </c>
      <c r="X410" s="14">
        <f>IF('Model inputs'!X154="","",'Model inputs'!X154)</f>
        <v>282.3102597203373</v>
      </c>
      <c r="Y410" s="14">
        <f>IF('Model inputs'!Y154="","",'Model inputs'!Y154)</f>
        <v>301.7005778327436</v>
      </c>
      <c r="Z410" s="14">
        <f>IF('Model inputs'!Z154="","",'Model inputs'!Z154)</f>
        <v>321.90216769697855</v>
      </c>
      <c r="AA410" s="14">
        <f>IF('Model inputs'!AA154="","",'Model inputs'!AA154)</f>
        <v>342.9603402252473</v>
      </c>
      <c r="AD410" s="14">
        <f>'Model inputs'!AD174*'Model inputs'!AC100/60*'Model inputs'!AC96</f>
        <v>0</v>
      </c>
      <c r="AE410" s="14">
        <f>'Model inputs'!AE174*'Model inputs'!AC100/60*'Model inputs'!AC96</f>
        <v>0</v>
      </c>
      <c r="AF410" s="14">
        <f>'Model inputs'!AF174*'Model inputs'!AC100/60*'Model inputs'!AC96</f>
        <v>0</v>
      </c>
      <c r="AG410" s="14">
        <f>'Model inputs'!AG174*'Model inputs'!AC100/60*'Model inputs'!AC96</f>
        <v>0</v>
      </c>
      <c r="AH410" s="14">
        <f>'Model inputs'!AH174*'Model inputs'!AC100/60*'Model inputs'!AC96</f>
        <v>0</v>
      </c>
      <c r="AI410" s="14">
        <f>'Model inputs'!AI174*'Model inputs'!AC100/60*'Model inputs'!AC96</f>
        <v>0</v>
      </c>
      <c r="AJ410" s="14">
        <f>'Model inputs'!AJ174*'Model inputs'!AC100/60*'Model inputs'!AC96</f>
        <v>0</v>
      </c>
      <c r="AK410" s="14">
        <f>'Model inputs'!AK174*'Model inputs'!AC100/60*'Model inputs'!AC96</f>
        <v>0</v>
      </c>
    </row>
    <row r="411" outlineLevel="1">
      <c r="A411" t="inlineStr" s="24">
        <is>
          <t xml:space="preserve">Workspace support costs &gt; Team</t>
        </is>
      </c>
      <c r="B411" s="14">
        <f>IF('Model inputs'!B155="","",'Model inputs'!B155)</f>
        <v>0</v>
      </c>
      <c r="C411" s="14">
        <f>IF('Model inputs'!C155="","",'Model inputs'!C155)</f>
        <v>0</v>
      </c>
      <c r="D411" s="14">
        <f>IF('Model inputs'!D155="","",'Model inputs'!D155)</f>
        <v>25</v>
      </c>
      <c r="E411" s="14">
        <f>IF('Model inputs'!E155="","",'Model inputs'!E155)</f>
        <v>50.5</v>
      </c>
      <c r="F411" s="14">
        <f>IF('Model inputs'!F155="","",'Model inputs'!F155)</f>
        <v>76.5475</v>
      </c>
      <c r="G411" s="14">
        <f>IF('Model inputs'!G155="","",'Model inputs'!G155)</f>
        <v>103.1917</v>
      </c>
      <c r="H411" s="14">
        <f>IF('Model inputs'!H155="","",'Model inputs'!H155)</f>
        <v>130.48360524999998</v>
      </c>
      <c r="I411" s="14">
        <f>IF('Model inputs'!I155="","",'Model inputs'!I155)</f>
        <v>158.476136155</v>
      </c>
      <c r="J411" s="14">
        <f>IF('Model inputs'!J155="","",'Model inputs'!J155)</f>
        <v>187.22424308597505</v>
      </c>
      <c r="K411" s="14">
        <f>IF('Model inputs'!K155="","",'Model inputs'!K155)</f>
        <v>216.7850263598021</v>
      </c>
      <c r="L411" s="14">
        <f>IF('Model inputs'!L155="","",'Model inputs'!L155)</f>
        <v>247.2178616637346</v>
      </c>
      <c r="M411" s="14">
        <f>IF('Model inputs'!M155="","",'Model inputs'!M155)</f>
        <v>278.58453121328546</v>
      </c>
      <c r="N411" s="14">
        <f>IF('Model inputs'!N155="","",'Model inputs'!N155)</f>
        <v>310.949360946323</v>
      </c>
      <c r="O411" s="14">
        <f>IF('Model inputs'!O155="","",'Model inputs'!O155)</f>
        <v>344.3793640708412</v>
      </c>
      <c r="P411" s="14">
        <f>IF('Model inputs'!P155="","",'Model inputs'!P155)</f>
        <v>378.9443912992692</v>
      </c>
      <c r="Q411" s="14">
        <f>IF('Model inputs'!Q155="","",'Model inputs'!Q155)</f>
        <v>414.717288118372</v>
      </c>
      <c r="R411" s="14">
        <f>IF('Model inputs'!R155="","",'Model inputs'!R155)</f>
        <v>451.7740594608058</v>
      </c>
      <c r="S411" s="14">
        <f>IF('Model inputs'!S155="","",'Model inputs'!S155)</f>
        <v>490.1940421622659</v>
      </c>
      <c r="T411" s="14">
        <f>IF('Model inputs'!T155="","",'Model inputs'!T155)</f>
        <v>530.0600856069465</v>
      </c>
      <c r="U411" s="14">
        <f>IF('Model inputs'!U155="","",'Model inputs'!U155)</f>
        <v>571.458740983764</v>
      </c>
      <c r="V411" s="14">
        <f>IF('Model inputs'!V155="","",'Model inputs'!V155)</f>
        <v>614.4804595965281</v>
      </c>
      <c r="W411" s="14">
        <f>IF('Model inputs'!W155="","",'Model inputs'!W155)</f>
        <v>659.2198006930233</v>
      </c>
      <c r="X411" s="14">
        <f>IF('Model inputs'!X155="","",'Model inputs'!X155)</f>
        <v>705.7756493008432</v>
      </c>
      <c r="Y411" s="14">
        <f>IF('Model inputs'!Y155="","",'Model inputs'!Y155)</f>
        <v>754.251444581859</v>
      </c>
      <c r="Z411" s="14">
        <f>IF('Model inputs'!Z155="","",'Model inputs'!Z155)</f>
        <v>804.7554192424464</v>
      </c>
      <c r="AA411" s="14">
        <f>IF('Model inputs'!AA155="","",'Model inputs'!AA155)</f>
        <v>857.4008505631182</v>
      </c>
      <c r="AD411" s="14">
        <f>'Model inputs'!AD175*'Model inputs'!AC101/60*'Model inputs'!AC96</f>
        <v>0</v>
      </c>
      <c r="AE411" s="14">
        <f>'Model inputs'!AE175*'Model inputs'!AC101/60*'Model inputs'!AC96</f>
        <v>0</v>
      </c>
      <c r="AF411" s="14">
        <f>'Model inputs'!AF175*'Model inputs'!AC101/60*'Model inputs'!AC96</f>
        <v>0</v>
      </c>
      <c r="AG411" s="14">
        <f>'Model inputs'!AG175*'Model inputs'!AC101/60*'Model inputs'!AC96</f>
        <v>0</v>
      </c>
      <c r="AH411" s="14">
        <f>'Model inputs'!AH175*'Model inputs'!AC101/60*'Model inputs'!AC96</f>
        <v>0</v>
      </c>
      <c r="AI411" s="14">
        <f>'Model inputs'!AI175*'Model inputs'!AC101/60*'Model inputs'!AC96</f>
        <v>0</v>
      </c>
      <c r="AJ411" s="14">
        <f>'Model inputs'!AJ175*'Model inputs'!AC101/60*'Model inputs'!AC96</f>
        <v>0</v>
      </c>
      <c r="AK411" s="14">
        <f>'Model inputs'!AK175*'Model inputs'!AC101/60*'Model inputs'!AC96</f>
        <v>0</v>
      </c>
    </row>
    <row r="412">
      <c r="A412" t="inlineStr" s="23">
        <is>
          <t xml:space="preserve">Input rate per million · Estimated cost per completed run · Run delivery costs · Contribution · CheckoutGuard — Conservative · CheckoutGuard — Conservative · CheckoutGuard — Conservative · CheckoutGuard — Conservative</t>
        </is>
      </c>
      <c r="AB412" s="9">
        <f>'CheckoutGuard — Assumptions · C'!B5</f>
        <v>0.25</v>
      </c>
    </row>
    <row r="413">
      <c r="A413" t="inlineStr" s="23">
        <is>
          <t xml:space="preserve">Input rate per million · Estimated cost per completed run · Run delivery costs · Contribution · CheckoutGuard — Growth · CheckoutGuard — Growth · CheckoutGuard — Growth · CheckoutGuard — Growth</t>
        </is>
      </c>
      <c r="AB413" s="9">
        <f>'CheckoutGuard — Assumptions · C'!B5</f>
        <v>0.25</v>
      </c>
    </row>
    <row r="414">
      <c r="A414" t="inlineStr" s="23">
        <is>
          <t xml:space="preserve">Mean input tokens · Estimated cost per completed run · Run delivery costs · Contribution · CheckoutGuard — Conservative · CheckoutGuard — Conservative · CheckoutGuard — Conservative · CheckoutGuard — Conservative</t>
        </is>
      </c>
      <c r="AB414" s="9">
        <f>AVERAGE('Model inputs'!AB421,'Model inputs'!AB422,'Model inputs'!AB423)</f>
        <v>12230</v>
      </c>
    </row>
    <row r="415">
      <c r="A415" t="inlineStr" s="23">
        <is>
          <t xml:space="preserve">Mean input tokens · Estimated cost per completed run · Run delivery costs · Contribution · CheckoutGuard — Growth · CheckoutGuard — Growth · CheckoutGuard — Growth · CheckoutGuard — Growth</t>
        </is>
      </c>
      <c r="AB415" s="9">
        <f>AVERAGE('Model inputs'!AB425,'Model inputs'!AB426,'Model inputs'!AB427)</f>
        <v>12230</v>
      </c>
    </row>
    <row r="416">
      <c r="A416" t="inlineStr" s="23">
        <is>
          <t xml:space="preserve">Mean output tokens · Estimated cost per completed run · Run delivery costs · Contribution · CheckoutGuard — Conservative · CheckoutGuard — Conservative · CheckoutGuard — Conservative · CheckoutGuard — Conservative</t>
        </is>
      </c>
      <c r="AB416" s="9">
        <f>AVERAGE('Model inputs'!AB429,'Model inputs'!AB430,'Model inputs'!AB431)</f>
        <v>194.33333333333334</v>
      </c>
    </row>
    <row r="417">
      <c r="A417" t="inlineStr" s="23">
        <is>
          <t xml:space="preserve">Mean output tokens · Estimated cost per completed run · Run delivery costs · Contribution · CheckoutGuard — Growth · CheckoutGuard — Growth · CheckoutGuard — Growth · CheckoutGuard — Growth</t>
        </is>
      </c>
      <c r="AB417" s="9">
        <f>AVERAGE('Model inputs'!AB433,'Model inputs'!AB434,'Model inputs'!AB435)</f>
        <v>194.33333333333334</v>
      </c>
    </row>
    <row r="418">
      <c r="A418" t="inlineStr" s="23">
        <is>
          <t xml:space="preserve">Output rate per million · Estimated cost per completed run · Run delivery costs · Contribution · CheckoutGuard — Conservative · CheckoutGuard — Conservative · CheckoutGuard — Conservative · CheckoutGuard — Conservative</t>
        </is>
      </c>
      <c r="AB418" s="9">
        <f>'CheckoutGuard — Assumptions · C'!B6</f>
        <v>0.5</v>
      </c>
    </row>
    <row r="419">
      <c r="A419" t="inlineStr" s="23">
        <is>
          <t xml:space="preserve">Output rate per million · Estimated cost per completed run · Run delivery costs · Contribution · CheckoutGuard — Growth · CheckoutGuard — Growth · CheckoutGuard — Growth · CheckoutGuard — Growth</t>
        </is>
      </c>
      <c r="AB419" s="9">
        <f>'CheckoutGuard — Assumptions · C'!B6</f>
        <v>0.5</v>
      </c>
    </row>
    <row r="420">
      <c r="A420" t="inlineStr" s="23">
        <is>
          <t xml:space="preserve">Reported input tokens</t>
        </is>
      </c>
      <c r="AB420" s="6">
        <v>0</v>
      </c>
    </row>
    <row r="421" outlineLevel="1">
      <c r="A421" t="inlineStr" s="24">
        <is>
          <t xml:space="preserve">Reported input tokens &gt; Run 1</t>
        </is>
      </c>
      <c r="AB421" s="9">
        <f>'CheckoutGuard — Business plan ·'!B5</f>
        <v>12227</v>
      </c>
    </row>
    <row r="422" outlineLevel="1">
      <c r="A422" t="inlineStr" s="24">
        <is>
          <t xml:space="preserve">Reported input tokens &gt; Run 2</t>
        </is>
      </c>
      <c r="AB422" s="9">
        <f>'CheckoutGuard — Business plan ·'!B6</f>
        <v>12128</v>
      </c>
    </row>
    <row r="423" outlineLevel="1">
      <c r="A423" t="inlineStr" s="24">
        <is>
          <t xml:space="preserve">Reported input tokens &gt; Run 3</t>
        </is>
      </c>
      <c r="AB423" s="9">
        <f>'CheckoutGuard — Business plan ·'!B7</f>
        <v>12335</v>
      </c>
    </row>
    <row r="424">
      <c r="A424" t="inlineStr" s="23">
        <is>
          <t xml:space="preserve">Reported input tokens</t>
        </is>
      </c>
      <c r="AB424" s="6">
        <v>0</v>
      </c>
    </row>
    <row r="425" outlineLevel="1">
      <c r="A425" t="inlineStr" s="24">
        <is>
          <t xml:space="preserve">Reported input tokens &gt; Run 1</t>
        </is>
      </c>
      <c r="AB425" s="9">
        <f>'CheckoutGuard — Business plan ·'!B5</f>
        <v>12227</v>
      </c>
    </row>
    <row r="426" outlineLevel="1">
      <c r="A426" t="inlineStr" s="24">
        <is>
          <t xml:space="preserve">Reported input tokens &gt; Run 2</t>
        </is>
      </c>
      <c r="AB426" s="9">
        <f>'CheckoutGuard — Business plan ·'!B6</f>
        <v>12128</v>
      </c>
    </row>
    <row r="427" outlineLevel="1">
      <c r="A427" t="inlineStr" s="24">
        <is>
          <t xml:space="preserve">Reported input tokens &gt; Run 3</t>
        </is>
      </c>
      <c r="AB427" s="9">
        <f>'CheckoutGuard — Business plan ·'!B7</f>
        <v>12335</v>
      </c>
    </row>
    <row r="428">
      <c r="A428" t="inlineStr" s="23">
        <is>
          <t xml:space="preserve">Reported output tokens</t>
        </is>
      </c>
      <c r="AB428" s="6">
        <v>0</v>
      </c>
    </row>
    <row r="429" outlineLevel="1">
      <c r="A429" t="inlineStr" s="24">
        <is>
          <t xml:space="preserve">Reported output tokens &gt; Run 1</t>
        </is>
      </c>
      <c r="AB429" s="9">
        <f>'CheckoutGuard — Business plan ·'!C5</f>
        <v>202</v>
      </c>
    </row>
    <row r="430" outlineLevel="1">
      <c r="A430" t="inlineStr" s="24">
        <is>
          <t xml:space="preserve">Reported output tokens &gt; Run 2</t>
        </is>
      </c>
      <c r="AB430" s="9">
        <f>'CheckoutGuard — Business plan ·'!C6</f>
        <v>179</v>
      </c>
    </row>
    <row r="431" outlineLevel="1">
      <c r="A431" t="inlineStr" s="24">
        <is>
          <t xml:space="preserve">Reported output tokens &gt; Run 3</t>
        </is>
      </c>
      <c r="AB431" s="9">
        <f>'CheckoutGuard — Business plan ·'!C7</f>
        <v>202</v>
      </c>
    </row>
    <row r="432">
      <c r="A432" t="inlineStr" s="23">
        <is>
          <t xml:space="preserve">Reported output tokens</t>
        </is>
      </c>
      <c r="AB432" s="6">
        <v>0</v>
      </c>
    </row>
    <row r="433" outlineLevel="1">
      <c r="A433" t="inlineStr" s="24">
        <is>
          <t xml:space="preserve">Reported output tokens &gt; Run 1</t>
        </is>
      </c>
      <c r="AB433" s="9">
        <f>'CheckoutGuard — Business plan ·'!C5</f>
        <v>202</v>
      </c>
    </row>
    <row r="434" outlineLevel="1">
      <c r="A434" t="inlineStr" s="24">
        <is>
          <t xml:space="preserve">Reported output tokens &gt; Run 2</t>
        </is>
      </c>
      <c r="AB434" s="9">
        <f>'CheckoutGuard — Business plan ·'!C6</f>
        <v>179</v>
      </c>
    </row>
    <row r="435" outlineLevel="1">
      <c r="A435" t="inlineStr" s="24">
        <is>
          <t xml:space="preserve">Reported output tokens &gt; Run 3</t>
        </is>
      </c>
      <c r="AB435" s="9">
        <f>'CheckoutGuard — Business plan ·'!C7</f>
        <v>202</v>
      </c>
    </row>
    <row r="437">
      <c r="A437" t="inlineStr" s="22">
        <is>
          <t xml:space="preserve">Dimensions</t>
        </is>
      </c>
    </row>
    <row r="438">
      <c r="A438" t="inlineStr" s="23">
        <is>
          <t xml:space="preserve">Workspace plan</t>
        </is>
      </c>
      <c r="B438" t="inlineStr" s="25">
        <is>
          <t xml:space="preserve">Agency</t>
        </is>
      </c>
      <c r="C438" t="inlineStr" s="25">
        <is>
          <t xml:space="preserve">Developer</t>
        </is>
      </c>
      <c r="D438" t="inlineStr" s="25">
        <is>
          <t xml:space="preserve">Team</t>
        </is>
      </c>
    </row>
    <row r="439">
      <c r="A439" t="inlineStr" s="23">
        <is>
          <t xml:space="preserve">Synthetic run</t>
        </is>
      </c>
      <c r="B439" t="inlineStr" s="25">
        <is>
          <t xml:space="preserve">Run 1</t>
        </is>
      </c>
      <c r="C439" t="inlineStr" s="25">
        <is>
          <t xml:space="preserve">Run 2</t>
        </is>
      </c>
      <c r="D439" t="inlineStr" s="25">
        <is>
          <t xml:space="preserve">Run 3</t>
        </is>
      </c>
    </row>
  </sheetData>
  <mergeCells count="2">
    <mergeCell ref="A1:AK1"/>
    <mergeCell ref="A2:AK2"/>
  </mergeCells>
</worksheet>
</file>